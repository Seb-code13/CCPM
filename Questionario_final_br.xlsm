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ou/Website/"/>
    </mc:Choice>
  </mc:AlternateContent>
  <xr:revisionPtr revIDLastSave="0" documentId="13_ncr:1_{659934BD-B88A-184B-8A6D-727C8ACB6C4A}" xr6:coauthVersionLast="47" xr6:coauthVersionMax="47" xr10:uidLastSave="{00000000-0000-0000-0000-000000000000}"/>
  <workbookProtection workbookAlgorithmName="SHA-512" workbookHashValue="kGtW55M3YYqL71cXPkEQDUzevuuI9Qdpo+3kNuMjABi6/TAJbC6jyQx+zhgZ7vODOebnG3brtsOSi++angWEWg==" workbookSaltValue="swCZBahemFcibLXr9Qg99A==" workbookSpinCount="100000" lockStructure="1"/>
  <bookViews>
    <workbookView xWindow="0" yWindow="500" windowWidth="28800" windowHeight="16420" xr2:uid="{00000000-000D-0000-FFFF-FFFF00000000}"/>
  </bookViews>
  <sheets>
    <sheet name="Método de Mensuração SGP" sheetId="4" r:id="rId1"/>
    <sheet name="% de sucesso" sheetId="7" r:id="rId2"/>
    <sheet name="Pontuação" sheetId="5" state="hidden" r:id="rId3"/>
    <sheet name="% por variável" sheetId="6" state="hidden" r:id="rId4"/>
    <sheet name="Matriz" sheetId="8" state="hidden" r:id="rId5"/>
  </sheets>
  <externalReferences>
    <externalReference r:id="rId6"/>
    <externalReference r:id="rId7"/>
  </externalReferences>
  <definedNames>
    <definedName name="__IDX1">'[1]T 5.1'!#REF!</definedName>
    <definedName name="__IDX4">'[1]T 5.1'!#REF!</definedName>
    <definedName name="_IDX1">[2]HG!#REF!</definedName>
    <definedName name="_IDX2">[2]HG!#REF!</definedName>
    <definedName name="_IDX3">'[1]T 5.1'!#REF!</definedName>
    <definedName name="_IDX4">[2]HG!#REF!</definedName>
    <definedName name="_IDX5">[2]HG!#REF!</definedName>
    <definedName name="ee">[2]HG!#REF!</definedName>
    <definedName name="gf">[2]HG!#REF!</definedName>
    <definedName name="ide">[2]HG!#REF!</definedName>
    <definedName name="IDX">[2]HG!#REF!</definedName>
    <definedName name="resultado">[2]HG!#REF!</definedName>
    <definedName name="sssss">[2]HG!#REF!</definedName>
    <definedName name="_xlnm.Print_Area" localSheetId="3">'% por variável'!$B$2:$H$71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5" l="1"/>
  <c r="H76" i="5"/>
  <c r="H77" i="5"/>
  <c r="H78" i="5"/>
  <c r="H79" i="5"/>
  <c r="H80" i="5"/>
  <c r="H81" i="5"/>
  <c r="H82" i="5"/>
  <c r="I82" i="5" s="1"/>
  <c r="E69" i="6" s="1"/>
  <c r="H69" i="6" s="1"/>
  <c r="H83" i="5"/>
  <c r="H84" i="5"/>
  <c r="H74" i="5"/>
  <c r="H53" i="5"/>
  <c r="H54" i="5"/>
  <c r="H55" i="5"/>
  <c r="H56" i="5"/>
  <c r="H57" i="5"/>
  <c r="H58" i="5"/>
  <c r="H59" i="5"/>
  <c r="H60" i="5"/>
  <c r="I60" i="5" s="1"/>
  <c r="E52" i="6" s="1"/>
  <c r="H52" i="6" s="1"/>
  <c r="H61" i="5"/>
  <c r="H62" i="5"/>
  <c r="H52" i="5"/>
  <c r="I52" i="5" s="1"/>
  <c r="H31" i="5"/>
  <c r="H32" i="5"/>
  <c r="H33" i="5"/>
  <c r="H34" i="5"/>
  <c r="H35" i="5"/>
  <c r="H36" i="5"/>
  <c r="H37" i="5"/>
  <c r="H38" i="5"/>
  <c r="I38" i="5" s="1"/>
  <c r="E35" i="6" s="1"/>
  <c r="H35" i="6" s="1"/>
  <c r="H39" i="5"/>
  <c r="H40" i="5"/>
  <c r="H30" i="5"/>
  <c r="H9" i="5"/>
  <c r="H11" i="5"/>
  <c r="H12" i="5"/>
  <c r="H13" i="5"/>
  <c r="H14" i="5"/>
  <c r="H15" i="5"/>
  <c r="H16" i="5"/>
  <c r="I16" i="5" s="1"/>
  <c r="E18" i="6" s="1"/>
  <c r="H18" i="6" s="1"/>
  <c r="H17" i="5"/>
  <c r="H18" i="5"/>
  <c r="H19" i="5"/>
  <c r="H8" i="5"/>
  <c r="G84" i="5"/>
  <c r="G82" i="5"/>
  <c r="G80" i="5"/>
  <c r="G78" i="5"/>
  <c r="G76" i="5"/>
  <c r="G74" i="5"/>
  <c r="G62" i="5"/>
  <c r="G60" i="5"/>
  <c r="G58" i="5"/>
  <c r="G56" i="5"/>
  <c r="G54" i="5"/>
  <c r="G52" i="5"/>
  <c r="G40" i="5"/>
  <c r="G38" i="5"/>
  <c r="G36" i="5"/>
  <c r="G34" i="5"/>
  <c r="G32" i="5"/>
  <c r="G30" i="5"/>
  <c r="G18" i="5"/>
  <c r="G16" i="5"/>
  <c r="G14" i="5"/>
  <c r="G12" i="5"/>
  <c r="G10" i="5"/>
  <c r="H10" i="5" s="1"/>
  <c r="I10" i="5" s="1"/>
  <c r="E12" i="6" s="1"/>
  <c r="H12" i="6" s="1"/>
  <c r="G8" i="5"/>
  <c r="E65" i="6"/>
  <c r="H65" i="6" s="1"/>
  <c r="E29" i="6"/>
  <c r="H29" i="6" s="1"/>
  <c r="E31" i="6"/>
  <c r="H31" i="6"/>
  <c r="I84" i="5"/>
  <c r="E71" i="6" s="1"/>
  <c r="H71" i="6" s="1"/>
  <c r="I80" i="5"/>
  <c r="E67" i="6" s="1"/>
  <c r="H67" i="6" s="1"/>
  <c r="I78" i="5"/>
  <c r="I76" i="5"/>
  <c r="E63" i="6" s="1"/>
  <c r="H63" i="6" s="1"/>
  <c r="I74" i="5"/>
  <c r="I62" i="5"/>
  <c r="E54" i="6" s="1"/>
  <c r="H54" i="6" s="1"/>
  <c r="I58" i="5"/>
  <c r="E50" i="6" s="1"/>
  <c r="H50" i="6" s="1"/>
  <c r="I56" i="5"/>
  <c r="E48" i="6" s="1"/>
  <c r="H48" i="6" s="1"/>
  <c r="I54" i="5"/>
  <c r="E46" i="6" s="1"/>
  <c r="H46" i="6" s="1"/>
  <c r="I40" i="5"/>
  <c r="E37" i="6" s="1"/>
  <c r="H37" i="6" s="1"/>
  <c r="I36" i="5"/>
  <c r="E33" i="6" s="1"/>
  <c r="H33" i="6" s="1"/>
  <c r="I34" i="5"/>
  <c r="I32" i="5"/>
  <c r="I30" i="5"/>
  <c r="D20" i="5"/>
  <c r="I18" i="5"/>
  <c r="I14" i="5"/>
  <c r="E16" i="6" s="1"/>
  <c r="H16" i="6" s="1"/>
  <c r="I12" i="5"/>
  <c r="E14" i="6" s="1"/>
  <c r="H14" i="6" s="1"/>
  <c r="I8" i="5"/>
  <c r="E10" i="6" s="1"/>
  <c r="H10" i="6" s="1"/>
  <c r="I86" i="5" l="1"/>
  <c r="I12" i="7" s="1"/>
  <c r="L12" i="7" s="1"/>
  <c r="E61" i="6"/>
  <c r="H61" i="6" s="1"/>
  <c r="I64" i="5"/>
  <c r="I11" i="7" s="1"/>
  <c r="L11" i="7" s="1"/>
  <c r="E44" i="6"/>
  <c r="H44" i="6" s="1"/>
  <c r="I42" i="5"/>
  <c r="I10" i="7" s="1"/>
  <c r="L10" i="7" s="1"/>
  <c r="E27" i="6"/>
  <c r="H27" i="6" s="1"/>
  <c r="I20" i="5"/>
  <c r="I9" i="7" s="1"/>
  <c r="L9" i="7" s="1"/>
  <c r="E20" i="6"/>
  <c r="H20" i="6" s="1"/>
  <c r="I14" i="7" l="1"/>
  <c r="K28" i="7" s="1"/>
  <c r="L28" i="7" s="1"/>
  <c r="G14" i="7"/>
</calcChain>
</file>

<file path=xl/sharedStrings.xml><?xml version="1.0" encoding="utf-8"?>
<sst xmlns="http://schemas.openxmlformats.org/spreadsheetml/2006/main" count="306" uniqueCount="143">
  <si>
    <t xml:space="preserve"> ESCALA DE MENSURAÇÃO DO SUCESSO DO GERENCIAMENTO DE PROJETOS </t>
  </si>
  <si>
    <t xml:space="preserve">Este questionário de pesquisa acadêmica foi elaborado para coletar experiências e opiniões de profissionais relacionadas as </t>
  </si>
  <si>
    <t xml:space="preserve">práticas de gerenciamento que podem conduzir os PROJETOS AO SUCESSO. </t>
  </si>
  <si>
    <t xml:space="preserve">Este método tem por objetivo gerenciar algumas variáveis identificadas como responsáveis pelo sucesso do gerenciamento de </t>
  </si>
  <si>
    <t>projetos a partir dos fatores críticos. As variáveis foram distribuídas dentro de quatro grupos direcionadores - habilidades</t>
  </si>
  <si>
    <t xml:space="preserve">gerenciais, sucesso, monitoramento e controle e lições aprendidas. sucesso, monitoramento e controle e lições aprendidas. </t>
  </si>
  <si>
    <t>A partir desta análise pode-se classificar o projeto como projeto de sucesso total, parcial ou projeto de insucesso.</t>
  </si>
  <si>
    <t xml:space="preserve">Portanto,para mensurar o sucesso do gerenciamento dos projetos, o gestor deve apontar a frequência de utilização de </t>
  </si>
  <si>
    <t>cada variável atribuindo notas entre 1 a 4, observando o percentual de aplicação e as questões relacionadas a cada variável.</t>
  </si>
  <si>
    <t xml:space="preserve">Frequência de aplicação </t>
  </si>
  <si>
    <t xml:space="preserve">1. Alta aplicação (70% a 100%) </t>
  </si>
  <si>
    <t xml:space="preserve">2. Média aplicação (de 40% a 69%) </t>
  </si>
  <si>
    <t xml:space="preserve">3. Baixa aplicação (de 1% a 39%) </t>
  </si>
  <si>
    <t xml:space="preserve">4. Nenhuma aplicação (0%) </t>
  </si>
  <si>
    <t xml:space="preserve">1. Grupo direcionador – Habilidades Gerenciais </t>
  </si>
  <si>
    <t xml:space="preserve">1. Habilidade de comunicação. Houve uma eficiente comunicação durante o planejamento e execução do projeto? </t>
  </si>
  <si>
    <t xml:space="preserve">2. Definição do cronograma. Foi definido um cronograma formal para o projeto? </t>
  </si>
  <si>
    <t xml:space="preserve">3. Aceitação da proposta do projeto. A missão ou proposta do projeto foi definida e aceita pelos interessados? </t>
  </si>
  <si>
    <t xml:space="preserve">4. Indicação de papéis e responsabilidades. Foram indicados papéis e responsabilidades para cada participante do projeto? </t>
  </si>
  <si>
    <t xml:space="preserve">5. Definição de metas e objetivos realistas. As metas e objetivos do projeto foram definidas? </t>
  </si>
  <si>
    <t xml:space="preserve">6. Qualificação da equipe. O projeto teve uma equipe adequada? </t>
  </si>
  <si>
    <t xml:space="preserve">2 – Grupo Direcionador – Fatores Críticos de Sucesso </t>
  </si>
  <si>
    <t xml:space="preserve">1. Definição do escopo do projeto. Houve definição e cumprimento do escopo do projeto? </t>
  </si>
  <si>
    <t xml:space="preserve">2. Prazo do projeto. Foi cumprido o prazo do projeto? </t>
  </si>
  <si>
    <t xml:space="preserve">3. Comprometimento. Houve comprometimento da equipe do projeto? </t>
  </si>
  <si>
    <t xml:space="preserve">4. Planejamento. Houve planejamento e aplicação da metodologia de gerenciamento de projetos? </t>
  </si>
  <si>
    <t xml:space="preserve">5. Habilidade de comunicação. Houve uma eficiente comunicação no projeto? </t>
  </si>
  <si>
    <t xml:space="preserve">6. Cumprimento do orçamento/custo do projeto. O orçamento do projeto foi cumprido? </t>
  </si>
  <si>
    <t xml:space="preserve">3 – Grupo Direcionador – Monitoramento e Controle </t>
  </si>
  <si>
    <t xml:space="preserve">1. Reuniões de monitoramento. Foram organizadas reuniões para apresentar o status e feedback das atividades do projeto? </t>
  </si>
  <si>
    <t xml:space="preserve">2. Variação de prazo. Foram acompanhadas as variações de prazo planejado para o projeto versus prazo realizado? </t>
  </si>
  <si>
    <t xml:space="preserve">3. Variação de benefícios. Foram acompanhadas as variações de benefícios planejados versus benefícios atingidos? </t>
  </si>
  <si>
    <t xml:space="preserve">4. Pontos de controle. Foram determinados pontos de controle específicos para o projeto? </t>
  </si>
  <si>
    <t xml:space="preserve">5. Variação de orçamento/custos. Foram acompanhadas as variações de custo planejados para o projeto versus custos </t>
  </si>
  <si>
    <t xml:space="preserve">6. Identificação de desvio de metas. Os dados foram coletados periodicamente e comparados com o planejado? </t>
  </si>
  <si>
    <t xml:space="preserve">4 – Grupo Direcionador – Lições Aprendidas </t>
  </si>
  <si>
    <t xml:space="preserve">1. Prazo. O projeto foi concluído no prazo planejado? </t>
  </si>
  <si>
    <t xml:space="preserve">2. Orçamento/Custo. O projeto foi concluído no orçamento/custo planejado? </t>
  </si>
  <si>
    <t xml:space="preserve">3. Comunicação. Os interessados (stakeholders ) foram informados da evolução do projeto? </t>
  </si>
  <si>
    <t xml:space="preserve">4. Proposta do projeto. O projeto foi concluído de acordo com o escopo estabelecido? </t>
  </si>
  <si>
    <t xml:space="preserve">5. Metas. Houve a necessidade de alteração de metas do projeto? </t>
  </si>
  <si>
    <t xml:space="preserve">6. Documentação. A documentação do projeto foi compilada no relatório final? </t>
  </si>
  <si>
    <t>_x000C_</t>
  </si>
  <si>
    <t>PONTUAÇÃO DE SUCESSO DO PROJETO POR GRUPO DIRECIONADOR</t>
  </si>
  <si>
    <t>Projeto 14</t>
  </si>
  <si>
    <t>Coluna 1</t>
  </si>
  <si>
    <t>Coluna 2</t>
  </si>
  <si>
    <t>Coluna 3</t>
  </si>
  <si>
    <t>Coluna 4</t>
  </si>
  <si>
    <t>Coluna 5</t>
  </si>
  <si>
    <t>Direcionador</t>
  </si>
  <si>
    <t>Percentual da</t>
  </si>
  <si>
    <t>Peso da</t>
  </si>
  <si>
    <t>Peso do</t>
  </si>
  <si>
    <t xml:space="preserve">Resposta </t>
  </si>
  <si>
    <t>Conversão</t>
  </si>
  <si>
    <t>Pontuação</t>
  </si>
  <si>
    <t>Habilidades Gerenciais</t>
  </si>
  <si>
    <t>variável na</t>
  </si>
  <si>
    <t>Variável</t>
  </si>
  <si>
    <t>Grupo</t>
  </si>
  <si>
    <t xml:space="preserve">do </t>
  </si>
  <si>
    <t>dos</t>
  </si>
  <si>
    <t>na</t>
  </si>
  <si>
    <t>pesquisa</t>
  </si>
  <si>
    <t>em %</t>
  </si>
  <si>
    <t>Gestor</t>
  </si>
  <si>
    <t>Resultados</t>
  </si>
  <si>
    <t>Escala</t>
  </si>
  <si>
    <t>(Nota)</t>
  </si>
  <si>
    <t>(1 x 2 x 4) / 100</t>
  </si>
  <si>
    <t>Habilidade de Comunicação</t>
  </si>
  <si>
    <t>Definição do cronograma</t>
  </si>
  <si>
    <t>Aceitação da proposta do projeto</t>
  </si>
  <si>
    <t>Indicação de papéis e responsabilidades</t>
  </si>
  <si>
    <t>Qualificação da equipe</t>
  </si>
  <si>
    <t>Definição de metas e objetivos realistas</t>
  </si>
  <si>
    <t>Pontuação obtida no grupo direcionador HABILIDADES GERENCIAIS</t>
  </si>
  <si>
    <t>O Grupo Direcionador Habilidades Gerenciais obteve X pontos.</t>
  </si>
  <si>
    <t>Fatores Críticos de Sucesso</t>
  </si>
  <si>
    <t>Cumprimento do prazo</t>
  </si>
  <si>
    <t>Definição do escopo do projeto</t>
  </si>
  <si>
    <t>Cumprimento do orçamento/custo</t>
  </si>
  <si>
    <t>Comprometimento da equipe</t>
  </si>
  <si>
    <t>Planejamento do projeto</t>
  </si>
  <si>
    <t>Habilidade de comunicação</t>
  </si>
  <si>
    <t>Pontuação obtida no grupo direcionador FATORES CRÍTICOS DE SUCESSO</t>
  </si>
  <si>
    <t>O Grupo Direcionador Fatores Críticos de Sucesso obteve X pontos.</t>
  </si>
  <si>
    <t>Monitoramento e Controle</t>
  </si>
  <si>
    <t>Reuniões de monitoramento do projeto</t>
  </si>
  <si>
    <t>Determinação dos pontos de controle</t>
  </si>
  <si>
    <t>Variação dos benefícios do projeto</t>
  </si>
  <si>
    <t>Variação de orçamento/custo</t>
  </si>
  <si>
    <t>Variação de prazo</t>
  </si>
  <si>
    <t>Identificação de desvio de metas</t>
  </si>
  <si>
    <t>Pontuação obtida no grupo direcionador MONITORAMENTO E CONTROLE</t>
  </si>
  <si>
    <t>O Grupo Direcionador Monitoramento e Controle obteve X pontos.</t>
  </si>
  <si>
    <t>Liçoes Aprendidas</t>
  </si>
  <si>
    <t>Conclusão dentro do orçamento/custo planejado</t>
  </si>
  <si>
    <t>Conclusão no prazo planejado</t>
  </si>
  <si>
    <t>Comunicação do projeto</t>
  </si>
  <si>
    <t>Conclusão de acordo com escopo estabelecido</t>
  </si>
  <si>
    <t>Discussão das alterações de metas e objetivos</t>
  </si>
  <si>
    <t>Compilação dos documentos do projeto</t>
  </si>
  <si>
    <t>Pontuação obtida no grupo direcionador LIÇÕES APRENDIDAS</t>
  </si>
  <si>
    <t>O Grupo Direcionador Lições Aprendidas obteve X pontos.</t>
  </si>
  <si>
    <t xml:space="preserve"> A conversão dos resultados se dá pela frequência de aplicação: </t>
  </si>
  <si>
    <t>1 para alta importância = nota 5;</t>
  </si>
  <si>
    <t>2 para média importância = nota 3;</t>
  </si>
  <si>
    <t>3 para baixa importância = nota 1;</t>
  </si>
  <si>
    <t>4 para nenhuma importância = nota 0.</t>
  </si>
  <si>
    <t>PERCENTUAL DE SUCESSO DO PROJETO POR VARIÁVEL</t>
  </si>
  <si>
    <t>Mensuração do Sucesso</t>
  </si>
  <si>
    <t>da</t>
  </si>
  <si>
    <t>do gerenciamento de projetos</t>
  </si>
  <si>
    <t xml:space="preserve"> por variável</t>
  </si>
  <si>
    <t xml:space="preserve"> (em %)</t>
  </si>
  <si>
    <t>Lições Aprendidas</t>
  </si>
  <si>
    <t xml:space="preserve">Avalie o percentual de sucesso por variável e identifique as que precisam ser melhor gerenciadas. </t>
  </si>
  <si>
    <t>Observação: A variável discussão das alterações de metas e objetivos no grupo direcionador lições aprendidas obteve baixa pontuação no modelo devido a falta de cultura de gerenciamento desta variável identificado nesta pesquisa.</t>
  </si>
  <si>
    <t>MENSURAÇÃO DO SUCESSO DO GERENCIAMENTO DE PROJETOS POR GRUPO DIRECIONADOR</t>
  </si>
  <si>
    <t>Grupo Direcionador</t>
  </si>
  <si>
    <t>Faixa de</t>
  </si>
  <si>
    <t>Classificação</t>
  </si>
  <si>
    <t>do Projeto</t>
  </si>
  <si>
    <t>por grupo direcionador (em %)</t>
  </si>
  <si>
    <t>Pontuação do Projeto</t>
  </si>
  <si>
    <t xml:space="preserve">Este projeto obteve X pontos dos 500 pontos propostos pelo método. </t>
  </si>
  <si>
    <t xml:space="preserve">A taxa de sucesso por grupo direcionador obtida por este projeto foi de X% para o grupo direcionador monitoramento e controle, </t>
  </si>
  <si>
    <t>Y% para lições aprendidas, Z% para habilidades gerenciais e também foi de W% para o grupo fatores críticos de sucesso.</t>
  </si>
  <si>
    <t>MENSURAÇÃO DO SUCESSO DO GERENCIAMENTO DE PROJETOS</t>
  </si>
  <si>
    <t>Percentual de</t>
  </si>
  <si>
    <t>na Escala</t>
  </si>
  <si>
    <t>Sucesso (%)</t>
  </si>
  <si>
    <t>Projeto de Sucesso Total</t>
  </si>
  <si>
    <t>de 70 a 100%</t>
  </si>
  <si>
    <t>Projeto de Sucesso Parcial</t>
  </si>
  <si>
    <t>de 40 a 69%</t>
  </si>
  <si>
    <t>Projeto de Insucesso</t>
  </si>
  <si>
    <t>de 0 a 39%</t>
  </si>
  <si>
    <t>6L</t>
  </si>
  <si>
    <t>PROJETO P-04</t>
  </si>
  <si>
    <t>a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</si>
</sst>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i/>
      <u/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1" fillId="2" borderId="0" xfId="0" applyFont="1" applyFill="1" applyAlignment="1">
      <alignment horizontal="center"/>
    </xf>
    <xf numFmtId="0" fontId="8" fillId="3" borderId="0" xfId="1" applyFont="1" applyFill="1"/>
    <xf numFmtId="0" fontId="7" fillId="3" borderId="0" xfId="1" applyFont="1" applyFill="1" applyAlignment="1">
      <alignment horizontal="left" vertical="center"/>
    </xf>
    <xf numFmtId="0" fontId="8" fillId="3" borderId="0" xfId="1" applyFont="1" applyFill="1" applyAlignment="1">
      <alignment horizontal="center"/>
    </xf>
    <xf numFmtId="0" fontId="8" fillId="3" borderId="2" xfId="1" applyFont="1" applyFill="1" applyBorder="1"/>
    <xf numFmtId="0" fontId="8" fillId="3" borderId="2" xfId="1" applyFont="1" applyFill="1" applyBorder="1" applyAlignment="1">
      <alignment horizontal="center"/>
    </xf>
    <xf numFmtId="0" fontId="8" fillId="3" borderId="9" xfId="1" applyFont="1" applyFill="1" applyBorder="1"/>
    <xf numFmtId="0" fontId="8" fillId="3" borderId="9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1" fontId="8" fillId="3" borderId="0" xfId="1" applyNumberFormat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3" borderId="0" xfId="1" applyNumberFormat="1" applyFont="1" applyFill="1" applyAlignment="1">
      <alignment horizontal="center"/>
    </xf>
    <xf numFmtId="0" fontId="8" fillId="4" borderId="0" xfId="1" applyFont="1" applyFill="1"/>
    <xf numFmtId="0" fontId="8" fillId="3" borderId="13" xfId="1" applyFont="1" applyFill="1" applyBorder="1"/>
    <xf numFmtId="0" fontId="7" fillId="3" borderId="13" xfId="1" applyFont="1" applyFill="1" applyBorder="1"/>
    <xf numFmtId="1" fontId="7" fillId="3" borderId="13" xfId="1" applyNumberFormat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1" fontId="7" fillId="3" borderId="0" xfId="1" applyNumberFormat="1" applyFont="1" applyFill="1" applyAlignment="1">
      <alignment horizontal="center"/>
    </xf>
    <xf numFmtId="0" fontId="7" fillId="3" borderId="0" xfId="1" applyFont="1" applyFill="1"/>
    <xf numFmtId="0" fontId="0" fillId="4" borderId="0" xfId="0" applyFill="1" applyAlignment="1">
      <alignment vertical="center"/>
    </xf>
    <xf numFmtId="0" fontId="12" fillId="3" borderId="0" xfId="0" applyFont="1" applyFill="1"/>
    <xf numFmtId="0" fontId="7" fillId="3" borderId="0" xfId="1" applyFont="1" applyFill="1" applyAlignment="1">
      <alignment horizontal="left"/>
    </xf>
    <xf numFmtId="0" fontId="7" fillId="3" borderId="2" xfId="1" applyFont="1" applyFill="1" applyBorder="1"/>
    <xf numFmtId="0" fontId="7" fillId="3" borderId="0" xfId="1" applyFont="1" applyFill="1" applyAlignment="1">
      <alignment horizontal="center"/>
    </xf>
    <xf numFmtId="0" fontId="7" fillId="3" borderId="9" xfId="1" applyFont="1" applyFill="1" applyBorder="1" applyAlignment="1">
      <alignment horizontal="center"/>
    </xf>
    <xf numFmtId="0" fontId="12" fillId="3" borderId="9" xfId="0" applyFont="1" applyFill="1" applyBorder="1"/>
    <xf numFmtId="0" fontId="12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1" fontId="13" fillId="3" borderId="9" xfId="0" applyNumberFormat="1" applyFont="1" applyFill="1" applyBorder="1" applyAlignment="1">
      <alignment horizontal="center"/>
    </xf>
    <xf numFmtId="1" fontId="8" fillId="3" borderId="2" xfId="1" applyNumberFormat="1" applyFont="1" applyFill="1" applyBorder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1" fontId="8" fillId="3" borderId="9" xfId="1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right"/>
    </xf>
    <xf numFmtId="0" fontId="13" fillId="3" borderId="0" xfId="0" applyFont="1" applyFill="1"/>
    <xf numFmtId="0" fontId="13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8" fillId="3" borderId="0" xfId="1" applyNumberFormat="1" applyFont="1" applyFill="1" applyAlignment="1">
      <alignment horizontal="center" vertical="center"/>
    </xf>
    <xf numFmtId="0" fontId="16" fillId="3" borderId="0" xfId="1" applyFont="1" applyFill="1" applyAlignment="1">
      <alignment horizontal="center"/>
    </xf>
    <xf numFmtId="0" fontId="12" fillId="3" borderId="0" xfId="0" applyFont="1" applyFill="1" applyProtection="1">
      <protection hidden="1"/>
    </xf>
    <xf numFmtId="0" fontId="7" fillId="3" borderId="0" xfId="1" applyFont="1" applyFill="1" applyProtection="1"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0" xfId="0" applyFont="1" applyFill="1" applyProtection="1">
      <protection hidden="1"/>
    </xf>
    <xf numFmtId="0" fontId="12" fillId="3" borderId="5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1" fontId="12" fillId="4" borderId="0" xfId="0" applyNumberFormat="1" applyFont="1" applyFill="1" applyAlignment="1" applyProtection="1">
      <alignment horizontal="center"/>
      <protection hidden="1"/>
    </xf>
    <xf numFmtId="1" fontId="13" fillId="3" borderId="0" xfId="0" applyNumberFormat="1" applyFont="1" applyFill="1" applyAlignment="1" applyProtection="1">
      <alignment horizontal="right"/>
      <protection hidden="1"/>
    </xf>
    <xf numFmtId="1" fontId="13" fillId="3" borderId="6" xfId="0" applyNumberFormat="1" applyFont="1" applyFill="1" applyBorder="1" applyAlignment="1" applyProtection="1">
      <alignment horizontal="center"/>
      <protection hidden="1"/>
    </xf>
    <xf numFmtId="1" fontId="13" fillId="3" borderId="6" xfId="0" applyNumberFormat="1" applyFont="1" applyFill="1" applyBorder="1" applyAlignment="1" applyProtection="1">
      <alignment horizontal="right"/>
      <protection hidden="1"/>
    </xf>
    <xf numFmtId="0" fontId="12" fillId="4" borderId="0" xfId="0" applyFont="1" applyFill="1" applyProtection="1">
      <protection hidden="1"/>
    </xf>
    <xf numFmtId="0" fontId="12" fillId="3" borderId="6" xfId="0" applyFont="1" applyFill="1" applyBorder="1" applyProtection="1">
      <protection hidden="1"/>
    </xf>
    <xf numFmtId="0" fontId="13" fillId="3" borderId="8" xfId="0" applyFont="1" applyFill="1" applyBorder="1" applyProtection="1">
      <protection hidden="1"/>
    </xf>
    <xf numFmtId="0" fontId="12" fillId="3" borderId="9" xfId="0" applyFont="1" applyFill="1" applyBorder="1" applyProtection="1">
      <protection hidden="1"/>
    </xf>
    <xf numFmtId="0" fontId="13" fillId="3" borderId="9" xfId="0" applyFont="1" applyFill="1" applyBorder="1" applyAlignment="1" applyProtection="1">
      <alignment horizontal="center"/>
      <protection hidden="1"/>
    </xf>
    <xf numFmtId="0" fontId="13" fillId="3" borderId="9" xfId="0" applyFont="1" applyFill="1" applyBorder="1" applyProtection="1">
      <protection hidden="1"/>
    </xf>
    <xf numFmtId="1" fontId="13" fillId="4" borderId="9" xfId="0" applyNumberFormat="1" applyFont="1" applyFill="1" applyBorder="1" applyAlignment="1" applyProtection="1">
      <alignment horizontal="center"/>
      <protection hidden="1"/>
    </xf>
    <xf numFmtId="0" fontId="12" fillId="3" borderId="10" xfId="0" applyFont="1" applyFill="1" applyBorder="1" applyProtection="1">
      <protection hidden="1"/>
    </xf>
    <xf numFmtId="0" fontId="13" fillId="3" borderId="1" xfId="0" applyFont="1" applyFill="1" applyBorder="1" applyProtection="1">
      <protection hidden="1"/>
    </xf>
    <xf numFmtId="0" fontId="13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3" borderId="1" xfId="0" applyFont="1" applyFill="1" applyBorder="1" applyProtection="1">
      <protection hidden="1"/>
    </xf>
    <xf numFmtId="0" fontId="12" fillId="3" borderId="2" xfId="0" applyFont="1" applyFill="1" applyBorder="1" applyProtection="1">
      <protection hidden="1"/>
    </xf>
    <xf numFmtId="0" fontId="12" fillId="3" borderId="2" xfId="0" applyFont="1" applyFill="1" applyBorder="1" applyAlignment="1" applyProtection="1">
      <alignment horizontal="left"/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12" fillId="3" borderId="8" xfId="0" applyFont="1" applyFill="1" applyBorder="1" applyProtection="1">
      <protection hidden="1"/>
    </xf>
    <xf numFmtId="0" fontId="12" fillId="3" borderId="9" xfId="0" applyFont="1" applyFill="1" applyBorder="1" applyAlignment="1" applyProtection="1">
      <alignment horizontal="left"/>
      <protection hidden="1"/>
    </xf>
    <xf numFmtId="0" fontId="12" fillId="3" borderId="9" xfId="0" applyFont="1" applyFill="1" applyBorder="1" applyAlignment="1" applyProtection="1">
      <alignment horizontal="center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14" fillId="3" borderId="0" xfId="0" applyFont="1" applyFill="1" applyAlignment="1" applyProtection="1">
      <alignment horizontal="right" wrapText="1"/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Alignment="1" applyProtection="1">
      <alignment horizontal="center"/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6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0" fontId="10" fillId="4" borderId="0" xfId="1" applyFont="1" applyFill="1" applyAlignment="1">
      <alignment horizontal="right"/>
    </xf>
    <xf numFmtId="0" fontId="7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10" fontId="13" fillId="3" borderId="2" xfId="0" applyNumberFormat="1" applyFont="1" applyFill="1" applyBorder="1" applyAlignment="1">
      <alignment horizontal="center"/>
    </xf>
    <xf numFmtId="10" fontId="13" fillId="3" borderId="0" xfId="0" applyNumberFormat="1" applyFont="1" applyFill="1" applyAlignment="1">
      <alignment horizontal="center"/>
    </xf>
    <xf numFmtId="10" fontId="7" fillId="3" borderId="0" xfId="1" applyNumberFormat="1" applyFont="1" applyFill="1" applyAlignment="1">
      <alignment horizontal="center"/>
    </xf>
    <xf numFmtId="10" fontId="7" fillId="3" borderId="9" xfId="1" applyNumberFormat="1" applyFont="1" applyFill="1" applyBorder="1" applyAlignment="1">
      <alignment horizontal="center"/>
    </xf>
    <xf numFmtId="0" fontId="13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right"/>
    </xf>
    <xf numFmtId="0" fontId="15" fillId="4" borderId="0" xfId="0" applyFont="1" applyFill="1" applyAlignment="1">
      <alignment horizontal="left" wrapText="1"/>
    </xf>
  </cellXfs>
  <cellStyles count="3">
    <cellStyle name="Normal" xfId="0" builtinId="0"/>
    <cellStyle name="Normal 2" xfId="1" xr:uid="{00000000-0005-0000-0000-000001000000}"/>
    <cellStyle name="Porcentagem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</xdr:colOff>
      <xdr:row>34</xdr:row>
      <xdr:rowOff>142875</xdr:rowOff>
    </xdr:to>
    <xdr:pic>
      <xdr:nvPicPr>
        <xdr:cNvPr id="4100" name="Imagem 1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32472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len/Documents/2.%20Doutorado/1.7%20M&#233;todo%20MSG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Tracing/Downloads/Resultados/4.%20An&#225;lise%2011.06.12/1.%20HG/resultados_HG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5.1"/>
      <sheetName val="T 5.2 - 5.5"/>
      <sheetName val="Q.5.1"/>
      <sheetName val="Q.5.2"/>
      <sheetName val="5.7-5.9 "/>
      <sheetName val="5.10"/>
      <sheetName val="5.11-5.14"/>
      <sheetName val="F.5.2"/>
      <sheetName val="5.15"/>
      <sheetName val="Aplicação direcionadores"/>
      <sheetName val="Bases direcionadores"/>
      <sheetName val="Análise (3)"/>
      <sheetName val="Análise (2)"/>
      <sheetName val="Análise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G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N67"/>
  <sheetViews>
    <sheetView tabSelected="1" topLeftCell="A12" zoomScale="130" zoomScaleNormal="130" workbookViewId="0">
      <selection activeCell="N24" sqref="N24"/>
    </sheetView>
  </sheetViews>
  <sheetFormatPr baseColWidth="10" defaultColWidth="9.1640625" defaultRowHeight="15" x14ac:dyDescent="0.2"/>
  <cols>
    <col min="1" max="12" width="9.1640625" style="1"/>
    <col min="13" max="13" width="14.33203125" style="1" customWidth="1"/>
    <col min="14" max="16384" width="9.1640625" style="1"/>
  </cols>
  <sheetData>
    <row r="2" spans="2:14" ht="16" x14ac:dyDescent="0.2">
      <c r="B2" s="100" t="s">
        <v>0</v>
      </c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</row>
    <row r="3" spans="2:14" ht="16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2:14" ht="16" x14ac:dyDescent="0.2">
      <c r="B4" s="101" t="s">
        <v>1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</row>
    <row r="5" spans="2:14" ht="16" x14ac:dyDescent="0.2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4" ht="16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4" ht="16" x14ac:dyDescent="0.2">
      <c r="B7" s="101" t="s">
        <v>3</v>
      </c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</row>
    <row r="8" spans="2:14" ht="16" x14ac:dyDescent="0.2">
      <c r="B8" s="101" t="s">
        <v>4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</row>
    <row r="9" spans="2:14" ht="16" x14ac:dyDescent="0.2">
      <c r="B9" s="3" t="s">
        <v>5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4" ht="16" x14ac:dyDescent="0.2">
      <c r="B10" s="2" t="s">
        <v>6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4" ht="16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4" ht="16" x14ac:dyDescent="0.2">
      <c r="B12" s="2" t="s">
        <v>7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4" ht="16" x14ac:dyDescent="0.2">
      <c r="B13" s="2" t="s">
        <v>8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5" spans="2:14" ht="16" x14ac:dyDescent="0.2">
      <c r="B15" s="4" t="s">
        <v>9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6" x14ac:dyDescent="0.2">
      <c r="B16" s="2" t="s">
        <v>10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6" x14ac:dyDescent="0.2">
      <c r="B17" s="2" t="s">
        <v>11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6" x14ac:dyDescent="0.2">
      <c r="B18" s="2" t="s">
        <v>12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2:14" ht="16" x14ac:dyDescent="0.2">
      <c r="B19" s="2" t="s">
        <v>13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6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 ht="16" x14ac:dyDescent="0.2">
      <c r="B21" s="5" t="s">
        <v>14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ht="16" x14ac:dyDescent="0.2">
      <c r="B22" s="6" t="s">
        <v>15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  <c r="N22" s="96">
        <v>2</v>
      </c>
    </row>
    <row r="23" spans="2:14" ht="16" x14ac:dyDescent="0.2">
      <c r="B23" s="15" t="s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  <c r="N23" s="97">
        <v>1</v>
      </c>
    </row>
    <row r="24" spans="2:14" ht="16" x14ac:dyDescent="0.2">
      <c r="B24" s="9" t="s">
        <v>17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10"/>
      <c r="N24" s="98">
        <v>2</v>
      </c>
    </row>
    <row r="25" spans="2:14" ht="16" x14ac:dyDescent="0.2">
      <c r="B25" s="15" t="s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  <c r="N25" s="97">
        <v>2</v>
      </c>
    </row>
    <row r="26" spans="2:14" ht="16" x14ac:dyDescent="0.2">
      <c r="B26" s="15" t="s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  <c r="N26" s="97">
        <v>2</v>
      </c>
    </row>
    <row r="27" spans="2:14" ht="16" x14ac:dyDescent="0.2">
      <c r="B27" s="11" t="s">
        <v>20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/>
      <c r="N27" s="99">
        <v>1</v>
      </c>
    </row>
    <row r="28" spans="2:14" ht="16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6" x14ac:dyDescent="0.2">
      <c r="B29" s="5" t="s">
        <v>21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 ht="16" x14ac:dyDescent="0.2">
      <c r="B30" s="6" t="s">
        <v>22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8"/>
      <c r="N30" s="96">
        <v>1</v>
      </c>
    </row>
    <row r="31" spans="2:14" ht="16" x14ac:dyDescent="0.2">
      <c r="B31" s="15" t="s">
        <v>23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97">
        <v>2</v>
      </c>
    </row>
    <row r="32" spans="2:14" ht="16" x14ac:dyDescent="0.2">
      <c r="B32" s="9" t="s">
        <v>24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10"/>
      <c r="N32" s="98">
        <v>1</v>
      </c>
    </row>
    <row r="33" spans="2:14" ht="16" x14ac:dyDescent="0.2">
      <c r="B33" s="15" t="s">
        <v>25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97">
        <v>2</v>
      </c>
    </row>
    <row r="34" spans="2:14" ht="16" x14ac:dyDescent="0.2">
      <c r="B34" s="15" t="s">
        <v>26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97">
        <v>2</v>
      </c>
    </row>
    <row r="35" spans="2:14" ht="16" x14ac:dyDescent="0.2">
      <c r="B35" s="11" t="s">
        <v>27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/>
      <c r="N35" s="99">
        <v>1</v>
      </c>
    </row>
    <row r="36" spans="2:14" ht="16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14" ht="16" x14ac:dyDescent="0.2">
      <c r="B37" s="5" t="s">
        <v>28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2:14" ht="16" x14ac:dyDescent="0.2">
      <c r="B38" s="6" t="s">
        <v>29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8"/>
      <c r="N38" s="96">
        <v>1</v>
      </c>
    </row>
    <row r="39" spans="2:14" ht="16" x14ac:dyDescent="0.2">
      <c r="B39" s="15" t="s">
        <v>30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/>
      <c r="N39" s="97">
        <v>3</v>
      </c>
    </row>
    <row r="40" spans="2:14" ht="16" x14ac:dyDescent="0.2">
      <c r="B40" s="9" t="s">
        <v>31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10"/>
      <c r="N40" s="98">
        <v>4</v>
      </c>
    </row>
    <row r="41" spans="2:14" ht="16" x14ac:dyDescent="0.2">
      <c r="B41" s="15" t="s">
        <v>32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  <c r="N41" s="97">
        <v>2</v>
      </c>
    </row>
    <row r="42" spans="2:14" ht="16" x14ac:dyDescent="0.2">
      <c r="B42" s="11" t="s">
        <v>33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99">
        <v>1</v>
      </c>
    </row>
    <row r="43" spans="2:14" ht="16" x14ac:dyDescent="0.2">
      <c r="B43" s="11" t="s">
        <v>34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3"/>
      <c r="N43" s="99">
        <v>1</v>
      </c>
    </row>
    <row r="44" spans="2:14" ht="16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"/>
    </row>
    <row r="45" spans="2:14" ht="16" x14ac:dyDescent="0.2">
      <c r="B45" s="5" t="s">
        <v>35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14"/>
    </row>
    <row r="46" spans="2:14" ht="16" x14ac:dyDescent="0.2">
      <c r="B46" s="6" t="s">
        <v>36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8"/>
      <c r="N46" s="96">
        <v>2</v>
      </c>
    </row>
    <row r="47" spans="2:14" ht="16" x14ac:dyDescent="0.2">
      <c r="B47" s="15" t="s">
        <v>37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  <c r="N47" s="97">
        <v>1</v>
      </c>
    </row>
    <row r="48" spans="2:14" ht="16" x14ac:dyDescent="0.2">
      <c r="B48" s="9" t="s">
        <v>38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10"/>
      <c r="N48" s="98">
        <v>2</v>
      </c>
    </row>
    <row r="49" spans="2:14" ht="16" x14ac:dyDescent="0.2">
      <c r="B49" s="15" t="s">
        <v>39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7"/>
      <c r="N49" s="97">
        <v>1</v>
      </c>
    </row>
    <row r="50" spans="2:14" ht="16" x14ac:dyDescent="0.2">
      <c r="B50" s="9" t="s">
        <v>40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10"/>
      <c r="N50" s="98">
        <v>2</v>
      </c>
    </row>
    <row r="51" spans="2:14" ht="16" x14ac:dyDescent="0.2">
      <c r="B51" s="15" t="s">
        <v>41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/>
      <c r="N51" s="97">
        <v>1</v>
      </c>
    </row>
    <row r="52" spans="2:14" ht="16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14"/>
    </row>
    <row r="53" spans="2:14" ht="16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ht="16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ht="15.75" customHeight="1" x14ac:dyDescent="0.2">
      <c r="B55" s="3"/>
      <c r="C55" s="3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2"/>
    </row>
    <row r="56" spans="2:14" ht="16" x14ac:dyDescent="0.2">
      <c r="B56" s="3"/>
      <c r="C56" s="3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2"/>
    </row>
    <row r="57" spans="2:14" ht="16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ht="16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ht="16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ht="16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7" spans="2:2" x14ac:dyDescent="0.2">
      <c r="B67" s="1" t="s">
        <v>42</v>
      </c>
    </row>
  </sheetData>
  <sheetProtection algorithmName="SHA-512" hashValue="QqN9L6h2KX5Syx5+OVKR67Vuk9e+a+/MIOqtw84c34jWbLb9+O30888YNedTkQv9E3oK0pDpXPhYBva7K58xmw==" saltValue="kd1tKA6eY4Pm1OgNEceLBw==" spinCount="100000" sheet="1" objects="1" scenarios="1"/>
  <mergeCells count="4">
    <mergeCell ref="B2:M2"/>
    <mergeCell ref="B4:M4"/>
    <mergeCell ref="B7:M7"/>
    <mergeCell ref="B8:M8"/>
  </mergeCells>
  <phoneticPr fontId="0" type="noConversion"/>
  <pageMargins left="0.51181102362204722" right="0.51181102362204722" top="0.78740157480314965" bottom="0.78740157480314965" header="0.31496062992125984" footer="0.31496062992125984"/>
  <pageSetup paperSize="9" scale="64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33"/>
  <sheetViews>
    <sheetView workbookViewId="0">
      <selection activeCell="K12" sqref="K12"/>
    </sheetView>
  </sheetViews>
  <sheetFormatPr baseColWidth="10" defaultColWidth="9.1640625" defaultRowHeight="16" x14ac:dyDescent="0.2"/>
  <cols>
    <col min="1" max="6" width="9.1640625" style="39"/>
    <col min="7" max="7" width="12.1640625" style="39" bestFit="1" customWidth="1"/>
    <col min="8" max="9" width="9.1640625" style="39"/>
    <col min="10" max="10" width="7.83203125" style="39" customWidth="1"/>
    <col min="11" max="12" width="9.1640625" style="39"/>
    <col min="13" max="13" width="12.33203125" style="39" customWidth="1"/>
    <col min="14" max="16384" width="9.1640625" style="39"/>
  </cols>
  <sheetData>
    <row r="1" spans="1:14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4" x14ac:dyDescent="0.2">
      <c r="A2" s="58"/>
      <c r="B2" s="59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4" x14ac:dyDescent="0.2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4" x14ac:dyDescent="0.2">
      <c r="A4" s="58"/>
      <c r="B4" s="103" t="s">
        <v>44</v>
      </c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4" x14ac:dyDescent="0.2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</row>
    <row r="6" spans="1:14" x14ac:dyDescent="0.2">
      <c r="A6" s="58"/>
      <c r="B6" s="108" t="s">
        <v>121</v>
      </c>
      <c r="C6" s="104"/>
      <c r="D6" s="104"/>
      <c r="E6" s="62"/>
      <c r="F6" s="62"/>
      <c r="G6" s="61" t="s">
        <v>122</v>
      </c>
      <c r="H6" s="62"/>
      <c r="I6" s="61" t="s">
        <v>56</v>
      </c>
      <c r="J6" s="62"/>
      <c r="K6" s="104" t="s">
        <v>112</v>
      </c>
      <c r="L6" s="104"/>
      <c r="M6" s="105"/>
      <c r="N6" s="53"/>
    </row>
    <row r="7" spans="1:14" x14ac:dyDescent="0.2">
      <c r="A7" s="58"/>
      <c r="B7" s="109"/>
      <c r="C7" s="106"/>
      <c r="D7" s="106"/>
      <c r="E7" s="64"/>
      <c r="F7" s="64"/>
      <c r="G7" s="63" t="s">
        <v>123</v>
      </c>
      <c r="H7" s="64"/>
      <c r="I7" s="63" t="s">
        <v>124</v>
      </c>
      <c r="J7" s="64"/>
      <c r="K7" s="106" t="s">
        <v>114</v>
      </c>
      <c r="L7" s="106"/>
      <c r="M7" s="107"/>
      <c r="N7" s="53"/>
    </row>
    <row r="8" spans="1:14" x14ac:dyDescent="0.2">
      <c r="A8" s="58"/>
      <c r="B8" s="109"/>
      <c r="C8" s="106"/>
      <c r="D8" s="106"/>
      <c r="E8" s="58"/>
      <c r="F8" s="58"/>
      <c r="G8" s="58"/>
      <c r="H8" s="58"/>
      <c r="I8" s="58"/>
      <c r="J8" s="64"/>
      <c r="K8" s="106" t="s">
        <v>125</v>
      </c>
      <c r="L8" s="106"/>
      <c r="M8" s="107"/>
      <c r="N8" s="53"/>
    </row>
    <row r="9" spans="1:14" x14ac:dyDescent="0.2">
      <c r="A9" s="58"/>
      <c r="B9" s="65" t="s">
        <v>57</v>
      </c>
      <c r="C9" s="58"/>
      <c r="D9" s="58"/>
      <c r="E9" s="58"/>
      <c r="F9" s="58"/>
      <c r="G9" s="66">
        <v>125</v>
      </c>
      <c r="H9" s="58"/>
      <c r="I9" s="67">
        <f>Pontuação!I20</f>
        <v>89.5</v>
      </c>
      <c r="J9" s="58"/>
      <c r="K9" s="58"/>
      <c r="L9" s="68">
        <f>I9/G9*100</f>
        <v>71.599999999999994</v>
      </c>
      <c r="M9" s="69"/>
    </row>
    <row r="10" spans="1:14" x14ac:dyDescent="0.2">
      <c r="A10" s="58"/>
      <c r="B10" s="65" t="s">
        <v>79</v>
      </c>
      <c r="C10" s="58"/>
      <c r="D10" s="58"/>
      <c r="E10" s="58"/>
      <c r="F10" s="58"/>
      <c r="G10" s="66">
        <v>195</v>
      </c>
      <c r="H10" s="58"/>
      <c r="I10" s="67">
        <f>Pontuação!I42</f>
        <v>154.05000000000001</v>
      </c>
      <c r="J10" s="58"/>
      <c r="K10" s="58"/>
      <c r="L10" s="68">
        <f>I10/G10*100</f>
        <v>79</v>
      </c>
      <c r="M10" s="70"/>
    </row>
    <row r="11" spans="1:14" x14ac:dyDescent="0.2">
      <c r="A11" s="58"/>
      <c r="B11" s="65" t="s">
        <v>88</v>
      </c>
      <c r="C11" s="58"/>
      <c r="D11" s="58"/>
      <c r="E11" s="58"/>
      <c r="F11" s="58"/>
      <c r="G11" s="66">
        <v>95</v>
      </c>
      <c r="H11" s="58"/>
      <c r="I11" s="67">
        <f>Pontuação!I64</f>
        <v>56.61999999999999</v>
      </c>
      <c r="J11" s="58"/>
      <c r="K11" s="58"/>
      <c r="L11" s="68">
        <f>I11/G11*100</f>
        <v>59.599999999999987</v>
      </c>
      <c r="M11" s="70"/>
    </row>
    <row r="12" spans="1:14" x14ac:dyDescent="0.2">
      <c r="A12" s="58"/>
      <c r="B12" s="65" t="s">
        <v>117</v>
      </c>
      <c r="C12" s="58"/>
      <c r="D12" s="58"/>
      <c r="E12" s="58"/>
      <c r="F12" s="58"/>
      <c r="G12" s="66">
        <v>85</v>
      </c>
      <c r="H12" s="58"/>
      <c r="I12" s="67">
        <f>Pontuação!I86</f>
        <v>68</v>
      </c>
      <c r="J12" s="58"/>
      <c r="K12" s="58"/>
      <c r="L12" s="68">
        <f>I12/G12*100</f>
        <v>80</v>
      </c>
      <c r="M12" s="70"/>
    </row>
    <row r="13" spans="1:14" x14ac:dyDescent="0.2">
      <c r="A13" s="58"/>
      <c r="B13" s="65"/>
      <c r="C13" s="58"/>
      <c r="D13" s="58"/>
      <c r="E13" s="58"/>
      <c r="F13" s="58"/>
      <c r="G13" s="58"/>
      <c r="H13" s="58"/>
      <c r="I13" s="71"/>
      <c r="J13" s="58"/>
      <c r="K13" s="58"/>
      <c r="L13" s="58"/>
      <c r="M13" s="72"/>
    </row>
    <row r="14" spans="1:14" x14ac:dyDescent="0.2">
      <c r="A14" s="58"/>
      <c r="B14" s="73" t="s">
        <v>126</v>
      </c>
      <c r="C14" s="74"/>
      <c r="D14" s="74"/>
      <c r="E14" s="74"/>
      <c r="F14" s="74"/>
      <c r="G14" s="75">
        <f ca="1">SUM(G11:G14)</f>
        <v>500</v>
      </c>
      <c r="H14" s="76"/>
      <c r="I14" s="77">
        <f>SUM(I9:I13)</f>
        <v>368.17</v>
      </c>
      <c r="J14" s="74"/>
      <c r="K14" s="74"/>
      <c r="L14" s="74"/>
      <c r="M14" s="78"/>
    </row>
    <row r="15" spans="1:14" x14ac:dyDescent="0.2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</row>
    <row r="16" spans="1:14" x14ac:dyDescent="0.2">
      <c r="A16" s="58"/>
      <c r="B16" s="71" t="s">
        <v>127</v>
      </c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</row>
    <row r="17" spans="1:13" x14ac:dyDescent="0.2">
      <c r="A17" s="58"/>
      <c r="B17" s="71" t="s">
        <v>128</v>
      </c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</row>
    <row r="18" spans="1:13" x14ac:dyDescent="0.2">
      <c r="A18" s="58"/>
      <c r="B18" s="71" t="s">
        <v>129</v>
      </c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</row>
    <row r="19" spans="1:13" x14ac:dyDescent="0.2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</row>
    <row r="20" spans="1:13" x14ac:dyDescent="0.2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</row>
    <row r="21" spans="1:13" x14ac:dyDescent="0.2">
      <c r="A21" s="58"/>
      <c r="B21" s="59" t="s">
        <v>130</v>
      </c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</row>
    <row r="22" spans="1:13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</row>
    <row r="23" spans="1:13" x14ac:dyDescent="0.2">
      <c r="A23" s="58"/>
      <c r="B23" s="103" t="s">
        <v>44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</row>
    <row r="24" spans="1:13" x14ac:dyDescent="0.2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</row>
    <row r="25" spans="1:13" x14ac:dyDescent="0.2">
      <c r="A25" s="58"/>
      <c r="B25" s="79" t="s">
        <v>121</v>
      </c>
      <c r="C25" s="62"/>
      <c r="D25" s="62"/>
      <c r="E25" s="62"/>
      <c r="F25" s="62"/>
      <c r="G25" s="61" t="s">
        <v>122</v>
      </c>
      <c r="H25" s="62"/>
      <c r="I25" s="61" t="s">
        <v>56</v>
      </c>
      <c r="J25" s="62"/>
      <c r="K25" s="61" t="s">
        <v>56</v>
      </c>
      <c r="L25" s="104" t="s">
        <v>131</v>
      </c>
      <c r="M25" s="105"/>
    </row>
    <row r="26" spans="1:13" x14ac:dyDescent="0.2">
      <c r="A26" s="58"/>
      <c r="B26" s="80"/>
      <c r="C26" s="64"/>
      <c r="D26" s="64"/>
      <c r="E26" s="64"/>
      <c r="F26" s="64"/>
      <c r="G26" s="63" t="s">
        <v>123</v>
      </c>
      <c r="H26" s="64"/>
      <c r="I26" s="63" t="s">
        <v>132</v>
      </c>
      <c r="J26" s="64"/>
      <c r="K26" s="81" t="s">
        <v>124</v>
      </c>
      <c r="L26" s="110" t="s">
        <v>133</v>
      </c>
      <c r="M26" s="111"/>
    </row>
    <row r="27" spans="1:13" x14ac:dyDescent="0.2">
      <c r="A27" s="58"/>
      <c r="B27" s="80"/>
      <c r="C27" s="64"/>
      <c r="D27" s="64"/>
      <c r="E27" s="64"/>
      <c r="F27" s="64"/>
      <c r="G27" s="63"/>
      <c r="H27" s="64"/>
      <c r="I27" s="63"/>
      <c r="J27" s="64"/>
      <c r="K27" s="82"/>
      <c r="L27" s="110" t="s">
        <v>124</v>
      </c>
      <c r="M27" s="111"/>
    </row>
    <row r="28" spans="1:13" x14ac:dyDescent="0.2">
      <c r="A28" s="58"/>
      <c r="B28" s="83" t="s">
        <v>134</v>
      </c>
      <c r="C28" s="84"/>
      <c r="D28" s="84"/>
      <c r="E28" s="84"/>
      <c r="F28" s="84"/>
      <c r="G28" s="85" t="s">
        <v>135</v>
      </c>
      <c r="H28" s="84"/>
      <c r="I28" s="86">
        <v>500</v>
      </c>
      <c r="J28" s="84"/>
      <c r="K28" s="87">
        <f>I14</f>
        <v>368.17</v>
      </c>
      <c r="L28" s="112">
        <f>K28/I28*100</f>
        <v>73.634</v>
      </c>
      <c r="M28" s="113"/>
    </row>
    <row r="29" spans="1:13" x14ac:dyDescent="0.2">
      <c r="A29" s="58"/>
      <c r="B29" s="65" t="s">
        <v>136</v>
      </c>
      <c r="C29" s="58"/>
      <c r="D29" s="58"/>
      <c r="E29" s="58"/>
      <c r="F29" s="58"/>
      <c r="G29" s="60" t="s">
        <v>137</v>
      </c>
      <c r="H29" s="58"/>
      <c r="I29" s="88">
        <v>345</v>
      </c>
      <c r="J29" s="58"/>
      <c r="K29" s="82"/>
      <c r="L29" s="82"/>
      <c r="M29" s="89"/>
    </row>
    <row r="30" spans="1:13" x14ac:dyDescent="0.2">
      <c r="A30" s="58"/>
      <c r="B30" s="90" t="s">
        <v>138</v>
      </c>
      <c r="C30" s="74"/>
      <c r="D30" s="74"/>
      <c r="E30" s="74"/>
      <c r="F30" s="74"/>
      <c r="G30" s="91" t="s">
        <v>139</v>
      </c>
      <c r="H30" s="74"/>
      <c r="I30" s="92">
        <v>195</v>
      </c>
      <c r="J30" s="74"/>
      <c r="K30" s="93"/>
      <c r="L30" s="93"/>
      <c r="M30" s="94"/>
    </row>
    <row r="31" spans="1:13" x14ac:dyDescent="0.2">
      <c r="A31" s="58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</row>
    <row r="32" spans="1:13" ht="19" x14ac:dyDescent="0.25">
      <c r="A32" s="58"/>
      <c r="B32" s="102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102"/>
    </row>
    <row r="33" spans="1:13" ht="19" x14ac:dyDescent="0.25">
      <c r="A33" s="58"/>
      <c r="B33" s="102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</row>
  </sheetData>
  <sheetProtection algorithmName="SHA-512" hashValue="ItbRKCdzQQiQjIL90SRg8TKGo8aB35Zi+WZgRd1zwf2OwapPcMIQeW8aeKSjmWSLNUZ5DuQtJ9zT3IqHtLYLDw==" saltValue="K4hTyVWWeEt3t9xEvC7EDA==" spinCount="100000" sheet="1" objects="1" scenarios="1"/>
  <mergeCells count="12">
    <mergeCell ref="B33:M33"/>
    <mergeCell ref="B4:M4"/>
    <mergeCell ref="K6:M6"/>
    <mergeCell ref="K7:M7"/>
    <mergeCell ref="K8:M8"/>
    <mergeCell ref="B23:M23"/>
    <mergeCell ref="B6:D8"/>
    <mergeCell ref="L25:M25"/>
    <mergeCell ref="L26:M26"/>
    <mergeCell ref="L27:M27"/>
    <mergeCell ref="L28:M28"/>
    <mergeCell ref="B32:M3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K94"/>
  <sheetViews>
    <sheetView topLeftCell="A58" zoomScale="110" zoomScaleNormal="110" workbookViewId="0">
      <selection activeCell="G81" sqref="G81"/>
    </sheetView>
  </sheetViews>
  <sheetFormatPr baseColWidth="10" defaultColWidth="9.1640625" defaultRowHeight="16" x14ac:dyDescent="0.2"/>
  <cols>
    <col min="1" max="2" width="9.1640625" style="19"/>
    <col min="3" max="3" width="49.5" style="19" customWidth="1"/>
    <col min="4" max="4" width="13" style="19" hidden="1" customWidth="1"/>
    <col min="5" max="5" width="12.33203125" style="19" customWidth="1"/>
    <col min="6" max="6" width="13.6640625" style="19" bestFit="1" customWidth="1"/>
    <col min="7" max="7" width="11.33203125" style="19" bestFit="1" customWidth="1"/>
    <col min="8" max="8" width="12" style="19" bestFit="1" customWidth="1"/>
    <col min="9" max="9" width="13.1640625" style="19" bestFit="1" customWidth="1"/>
    <col min="10" max="10" width="11.83203125" style="19" customWidth="1"/>
    <col min="11" max="16384" width="9.1640625" style="19"/>
  </cols>
  <sheetData>
    <row r="1" spans="2:9" ht="22.5" customHeight="1" x14ac:dyDescent="0.2">
      <c r="B1" s="115" t="s">
        <v>43</v>
      </c>
      <c r="C1" s="115"/>
      <c r="D1" s="115"/>
      <c r="E1" s="115"/>
      <c r="F1" s="115"/>
      <c r="G1" s="115"/>
      <c r="H1" s="115"/>
      <c r="I1" s="115"/>
    </row>
    <row r="2" spans="2:9" ht="25.5" customHeight="1" x14ac:dyDescent="0.2">
      <c r="B2" s="20" t="s">
        <v>140</v>
      </c>
      <c r="G2" s="19" t="s">
        <v>142</v>
      </c>
    </row>
    <row r="3" spans="2:9" x14ac:dyDescent="0.2">
      <c r="B3" s="20"/>
      <c r="E3" s="21" t="s">
        <v>45</v>
      </c>
      <c r="F3" s="21" t="s">
        <v>46</v>
      </c>
      <c r="G3" s="21" t="s">
        <v>47</v>
      </c>
      <c r="H3" s="21" t="s">
        <v>48</v>
      </c>
      <c r="I3" s="21" t="s">
        <v>49</v>
      </c>
    </row>
    <row r="4" spans="2:9" x14ac:dyDescent="0.2">
      <c r="B4" s="22"/>
      <c r="C4" s="22" t="s">
        <v>50</v>
      </c>
      <c r="D4" s="23" t="s">
        <v>51</v>
      </c>
      <c r="E4" s="23" t="s">
        <v>52</v>
      </c>
      <c r="F4" s="23" t="s">
        <v>53</v>
      </c>
      <c r="G4" s="23" t="s">
        <v>54</v>
      </c>
      <c r="H4" s="23" t="s">
        <v>55</v>
      </c>
      <c r="I4" s="23" t="s">
        <v>56</v>
      </c>
    </row>
    <row r="5" spans="2:9" x14ac:dyDescent="0.2">
      <c r="C5" s="19" t="s">
        <v>57</v>
      </c>
      <c r="D5" s="21" t="s">
        <v>58</v>
      </c>
      <c r="E5" s="21" t="s">
        <v>59</v>
      </c>
      <c r="F5" s="21" t="s">
        <v>60</v>
      </c>
      <c r="G5" s="21" t="s">
        <v>61</v>
      </c>
      <c r="H5" s="21" t="s">
        <v>62</v>
      </c>
      <c r="I5" s="21" t="s">
        <v>63</v>
      </c>
    </row>
    <row r="6" spans="2:9" x14ac:dyDescent="0.2">
      <c r="D6" s="21" t="s">
        <v>64</v>
      </c>
      <c r="E6" s="21" t="s">
        <v>65</v>
      </c>
      <c r="F6" s="21" t="s">
        <v>65</v>
      </c>
      <c r="G6" s="21" t="s">
        <v>66</v>
      </c>
      <c r="H6" s="21" t="s">
        <v>67</v>
      </c>
      <c r="I6" s="21" t="s">
        <v>68</v>
      </c>
    </row>
    <row r="7" spans="2:9" x14ac:dyDescent="0.2">
      <c r="B7" s="24"/>
      <c r="C7" s="24"/>
      <c r="D7" s="25"/>
      <c r="E7" s="25"/>
      <c r="F7" s="25"/>
      <c r="G7" s="25"/>
      <c r="H7" s="25" t="s">
        <v>69</v>
      </c>
      <c r="I7" s="26" t="s">
        <v>70</v>
      </c>
    </row>
    <row r="8" spans="2:9" x14ac:dyDescent="0.2">
      <c r="B8" s="21">
        <v>1</v>
      </c>
      <c r="C8" s="19" t="s">
        <v>71</v>
      </c>
      <c r="D8" s="27">
        <v>21.05</v>
      </c>
      <c r="E8" s="27">
        <v>25</v>
      </c>
      <c r="F8" s="21">
        <v>25</v>
      </c>
      <c r="G8" s="28">
        <f>'Método de Mensuração SGP'!N22</f>
        <v>2</v>
      </c>
      <c r="H8" s="29">
        <f>IF(G8=1,5,IF(G8=2,3,IF(G8=3,1,IF(G8=4,0,""))))</f>
        <v>3</v>
      </c>
      <c r="I8" s="27">
        <f>(E8*F8)*H8/100</f>
        <v>18.75</v>
      </c>
    </row>
    <row r="9" spans="2:9" x14ac:dyDescent="0.2">
      <c r="B9" s="21"/>
      <c r="D9" s="27"/>
      <c r="E9" s="30"/>
      <c r="F9" s="21"/>
      <c r="G9" s="28"/>
      <c r="H9" s="29" t="str">
        <f t="shared" ref="H9:H19" si="0">IF(G9=1,5,IF(G9=2,3,IF(G9=3,1,IF(G9=4,0,""))))</f>
        <v/>
      </c>
      <c r="I9" s="27"/>
    </row>
    <row r="10" spans="2:9" x14ac:dyDescent="0.2">
      <c r="B10" s="21">
        <v>2</v>
      </c>
      <c r="C10" s="19" t="s">
        <v>72</v>
      </c>
      <c r="D10" s="27">
        <v>16.329999999999998</v>
      </c>
      <c r="E10" s="27">
        <v>19</v>
      </c>
      <c r="F10" s="21">
        <v>25</v>
      </c>
      <c r="G10" s="28">
        <f>'Método de Mensuração SGP'!N23</f>
        <v>1</v>
      </c>
      <c r="H10" s="29">
        <f t="shared" si="0"/>
        <v>5</v>
      </c>
      <c r="I10" s="27">
        <f>(E10*F10)*H10/100</f>
        <v>23.75</v>
      </c>
    </row>
    <row r="11" spans="2:9" x14ac:dyDescent="0.2">
      <c r="B11" s="21"/>
      <c r="D11" s="27"/>
      <c r="E11" s="30"/>
      <c r="F11" s="21"/>
      <c r="G11" s="28"/>
      <c r="H11" s="29" t="str">
        <f t="shared" si="0"/>
        <v/>
      </c>
      <c r="I11" s="27"/>
    </row>
    <row r="12" spans="2:9" x14ac:dyDescent="0.2">
      <c r="B12" s="21">
        <v>3</v>
      </c>
      <c r="C12" s="19" t="s">
        <v>73</v>
      </c>
      <c r="D12" s="27">
        <v>16.329999999999998</v>
      </c>
      <c r="E12" s="27">
        <v>19</v>
      </c>
      <c r="F12" s="21">
        <v>25</v>
      </c>
      <c r="G12" s="28">
        <f>'Método de Mensuração SGP'!N24</f>
        <v>2</v>
      </c>
      <c r="H12" s="29">
        <f t="shared" si="0"/>
        <v>3</v>
      </c>
      <c r="I12" s="27">
        <f>(E12*F12)*H12/100</f>
        <v>14.25</v>
      </c>
    </row>
    <row r="13" spans="2:9" x14ac:dyDescent="0.2">
      <c r="B13" s="21"/>
      <c r="D13" s="27"/>
      <c r="E13" s="27"/>
      <c r="F13" s="21"/>
      <c r="G13" s="28"/>
      <c r="H13" s="29" t="str">
        <f t="shared" si="0"/>
        <v/>
      </c>
      <c r="I13" s="27"/>
    </row>
    <row r="14" spans="2:9" x14ac:dyDescent="0.2">
      <c r="B14" s="21">
        <v>4</v>
      </c>
      <c r="C14" s="19" t="s">
        <v>74</v>
      </c>
      <c r="D14" s="27">
        <v>11.61</v>
      </c>
      <c r="E14" s="27">
        <v>14</v>
      </c>
      <c r="F14" s="21">
        <v>25</v>
      </c>
      <c r="G14" s="28">
        <f>'Método de Mensuração SGP'!N25</f>
        <v>2</v>
      </c>
      <c r="H14" s="29">
        <f t="shared" si="0"/>
        <v>3</v>
      </c>
      <c r="I14" s="27">
        <f>(E14*F14)*H14/100</f>
        <v>10.5</v>
      </c>
    </row>
    <row r="15" spans="2:9" x14ac:dyDescent="0.2">
      <c r="B15" s="21"/>
      <c r="D15" s="27"/>
      <c r="E15" s="27"/>
      <c r="F15" s="21"/>
      <c r="G15" s="28"/>
      <c r="H15" s="29" t="str">
        <f t="shared" si="0"/>
        <v/>
      </c>
      <c r="I15" s="27"/>
    </row>
    <row r="16" spans="2:9" x14ac:dyDescent="0.2">
      <c r="B16" s="21">
        <v>5</v>
      </c>
      <c r="C16" s="19" t="s">
        <v>75</v>
      </c>
      <c r="D16" s="27">
        <v>11.61</v>
      </c>
      <c r="E16" s="27">
        <v>13</v>
      </c>
      <c r="F16" s="21">
        <v>25</v>
      </c>
      <c r="G16" s="28">
        <f>'Método de Mensuração SGP'!N26</f>
        <v>2</v>
      </c>
      <c r="H16" s="29">
        <f t="shared" si="0"/>
        <v>3</v>
      </c>
      <c r="I16" s="27">
        <f>(E16*F16)*H16/100</f>
        <v>9.75</v>
      </c>
    </row>
    <row r="17" spans="2:11" x14ac:dyDescent="0.2">
      <c r="B17" s="21"/>
      <c r="D17" s="27"/>
      <c r="E17" s="27"/>
      <c r="F17" s="21"/>
      <c r="G17" s="28"/>
      <c r="H17" s="29" t="str">
        <f t="shared" si="0"/>
        <v/>
      </c>
      <c r="I17" s="27"/>
    </row>
    <row r="18" spans="2:11" x14ac:dyDescent="0.2">
      <c r="B18" s="21">
        <v>6</v>
      </c>
      <c r="C18" s="19" t="s">
        <v>76</v>
      </c>
      <c r="D18" s="27">
        <v>8.9499999999999993</v>
      </c>
      <c r="E18" s="27">
        <v>10</v>
      </c>
      <c r="F18" s="21">
        <v>25</v>
      </c>
      <c r="G18" s="28">
        <f>'Método de Mensuração SGP'!N27</f>
        <v>1</v>
      </c>
      <c r="H18" s="29">
        <f t="shared" si="0"/>
        <v>5</v>
      </c>
      <c r="I18" s="27">
        <f>(E18*F18)*H18/100</f>
        <v>12.5</v>
      </c>
    </row>
    <row r="19" spans="2:11" x14ac:dyDescent="0.2">
      <c r="D19" s="27"/>
      <c r="F19" s="21"/>
      <c r="G19" s="31"/>
      <c r="H19" s="29" t="str">
        <f t="shared" si="0"/>
        <v/>
      </c>
    </row>
    <row r="20" spans="2:11" x14ac:dyDescent="0.2">
      <c r="B20" s="32"/>
      <c r="C20" s="33" t="s">
        <v>77</v>
      </c>
      <c r="D20" s="34">
        <f>SUM(D8:D18)</f>
        <v>85.88</v>
      </c>
      <c r="E20" s="35"/>
      <c r="F20" s="35"/>
      <c r="G20" s="33"/>
      <c r="H20" s="34"/>
      <c r="I20" s="34">
        <f>SUM(I8:I19)</f>
        <v>89.5</v>
      </c>
    </row>
    <row r="22" spans="2:11" ht="18" x14ac:dyDescent="0.2">
      <c r="B22" s="114" t="s">
        <v>78</v>
      </c>
      <c r="C22" s="114"/>
      <c r="D22" s="114"/>
      <c r="E22" s="114"/>
      <c r="F22" s="114"/>
      <c r="G22" s="114"/>
      <c r="H22" s="114"/>
      <c r="I22" s="114"/>
    </row>
    <row r="23" spans="2:11" x14ac:dyDescent="0.2">
      <c r="B23" s="116"/>
      <c r="C23" s="116"/>
      <c r="D23" s="116"/>
      <c r="E23" s="116"/>
      <c r="F23" s="116"/>
      <c r="G23" s="116"/>
      <c r="H23" s="116"/>
      <c r="I23" s="116"/>
      <c r="J23" s="116"/>
      <c r="K23" s="21"/>
    </row>
    <row r="24" spans="2:11" x14ac:dyDescent="0.2">
      <c r="B24" s="20" t="s">
        <v>140</v>
      </c>
    </row>
    <row r="25" spans="2:11" x14ac:dyDescent="0.2">
      <c r="B25" s="20"/>
      <c r="E25" s="21" t="s">
        <v>45</v>
      </c>
      <c r="F25" s="21" t="s">
        <v>46</v>
      </c>
      <c r="G25" s="21" t="s">
        <v>47</v>
      </c>
      <c r="H25" s="21" t="s">
        <v>48</v>
      </c>
      <c r="I25" s="21" t="s">
        <v>49</v>
      </c>
    </row>
    <row r="26" spans="2:11" x14ac:dyDescent="0.2">
      <c r="B26" s="22"/>
      <c r="C26" s="22" t="s">
        <v>50</v>
      </c>
      <c r="D26" s="23" t="s">
        <v>51</v>
      </c>
      <c r="E26" s="23" t="s">
        <v>52</v>
      </c>
      <c r="F26" s="23" t="s">
        <v>53</v>
      </c>
      <c r="G26" s="23" t="s">
        <v>54</v>
      </c>
      <c r="H26" s="23" t="s">
        <v>55</v>
      </c>
      <c r="I26" s="23" t="s">
        <v>56</v>
      </c>
    </row>
    <row r="27" spans="2:11" x14ac:dyDescent="0.2">
      <c r="C27" s="19" t="s">
        <v>79</v>
      </c>
      <c r="D27" s="21" t="s">
        <v>58</v>
      </c>
      <c r="E27" s="21" t="s">
        <v>59</v>
      </c>
      <c r="F27" s="21" t="s">
        <v>60</v>
      </c>
      <c r="G27" s="21" t="s">
        <v>61</v>
      </c>
      <c r="H27" s="21" t="s">
        <v>62</v>
      </c>
      <c r="I27" s="21" t="s">
        <v>63</v>
      </c>
    </row>
    <row r="28" spans="2:11" x14ac:dyDescent="0.2">
      <c r="D28" s="21" t="s">
        <v>64</v>
      </c>
      <c r="E28" s="21" t="s">
        <v>65</v>
      </c>
      <c r="F28" s="21" t="s">
        <v>65</v>
      </c>
      <c r="G28" s="21" t="s">
        <v>66</v>
      </c>
      <c r="H28" s="21" t="s">
        <v>67</v>
      </c>
      <c r="I28" s="21" t="s">
        <v>68</v>
      </c>
    </row>
    <row r="29" spans="2:11" x14ac:dyDescent="0.2">
      <c r="B29" s="24"/>
      <c r="C29" s="24"/>
      <c r="D29" s="25"/>
      <c r="E29" s="25"/>
      <c r="F29" s="25"/>
      <c r="G29" s="25"/>
      <c r="H29" s="25" t="s">
        <v>69</v>
      </c>
      <c r="I29" s="26" t="s">
        <v>70</v>
      </c>
    </row>
    <row r="30" spans="2:11" x14ac:dyDescent="0.2">
      <c r="B30" s="21">
        <v>1</v>
      </c>
      <c r="C30" s="19" t="s">
        <v>80</v>
      </c>
      <c r="D30" s="27">
        <v>14.85</v>
      </c>
      <c r="E30" s="27">
        <v>19</v>
      </c>
      <c r="F30" s="21">
        <v>39</v>
      </c>
      <c r="G30" s="28">
        <f>'Método de Mensuração SGP'!N30</f>
        <v>1</v>
      </c>
      <c r="H30" s="29">
        <f>IF(G30=1,5,IF(G30=2,3,IF(G30=3,1,IF(G30=4,0,""))))</f>
        <v>5</v>
      </c>
      <c r="I30" s="27">
        <f>(E30*F30)*H30/100</f>
        <v>37.049999999999997</v>
      </c>
    </row>
    <row r="31" spans="2:11" x14ac:dyDescent="0.2">
      <c r="B31" s="21"/>
      <c r="D31" s="27"/>
      <c r="E31" s="27"/>
      <c r="F31" s="21"/>
      <c r="G31" s="28"/>
      <c r="H31" s="29" t="str">
        <f t="shared" ref="H31:H40" si="1">IF(G31=1,5,IF(G31=2,3,IF(G31=3,1,IF(G31=4,0,""))))</f>
        <v/>
      </c>
      <c r="I31" s="27"/>
    </row>
    <row r="32" spans="2:11" x14ac:dyDescent="0.2">
      <c r="B32" s="21">
        <v>2</v>
      </c>
      <c r="C32" s="19" t="s">
        <v>81</v>
      </c>
      <c r="D32" s="27">
        <v>14.85</v>
      </c>
      <c r="E32" s="27">
        <v>19</v>
      </c>
      <c r="F32" s="21">
        <v>39</v>
      </c>
      <c r="G32" s="28">
        <f>'Método de Mensuração SGP'!N31</f>
        <v>2</v>
      </c>
      <c r="H32" s="29">
        <f t="shared" si="1"/>
        <v>3</v>
      </c>
      <c r="I32" s="27">
        <f>(E32*F32)*H32/100</f>
        <v>22.23</v>
      </c>
    </row>
    <row r="33" spans="2:10" x14ac:dyDescent="0.2">
      <c r="B33" s="21"/>
      <c r="D33" s="27"/>
      <c r="E33" s="27"/>
      <c r="F33" s="21"/>
      <c r="G33" s="28"/>
      <c r="H33" s="29" t="str">
        <f t="shared" si="1"/>
        <v/>
      </c>
      <c r="I33" s="27"/>
    </row>
    <row r="34" spans="2:10" x14ac:dyDescent="0.2">
      <c r="B34" s="21">
        <v>3</v>
      </c>
      <c r="C34" s="19" t="s">
        <v>82</v>
      </c>
      <c r="D34" s="27">
        <v>13.26</v>
      </c>
      <c r="E34" s="27">
        <v>16</v>
      </c>
      <c r="F34" s="21">
        <v>39</v>
      </c>
      <c r="G34" s="28">
        <f>'Método de Mensuração SGP'!N32</f>
        <v>1</v>
      </c>
      <c r="H34" s="29">
        <f t="shared" si="1"/>
        <v>5</v>
      </c>
      <c r="I34" s="27">
        <f>(E34*F34)*H34/100</f>
        <v>31.2</v>
      </c>
    </row>
    <row r="35" spans="2:10" x14ac:dyDescent="0.2">
      <c r="B35" s="21"/>
      <c r="D35" s="27"/>
      <c r="E35" s="27"/>
      <c r="F35" s="21"/>
      <c r="G35" s="28"/>
      <c r="H35" s="29" t="str">
        <f t="shared" si="1"/>
        <v/>
      </c>
      <c r="I35" s="27"/>
    </row>
    <row r="36" spans="2:10" x14ac:dyDescent="0.2">
      <c r="B36" s="21">
        <v>4</v>
      </c>
      <c r="C36" s="19" t="s">
        <v>83</v>
      </c>
      <c r="D36" s="27">
        <v>13.53</v>
      </c>
      <c r="E36" s="27">
        <v>16</v>
      </c>
      <c r="F36" s="21">
        <v>39</v>
      </c>
      <c r="G36" s="28">
        <f>'Método de Mensuração SGP'!N33</f>
        <v>2</v>
      </c>
      <c r="H36" s="29">
        <f t="shared" si="1"/>
        <v>3</v>
      </c>
      <c r="I36" s="27">
        <f>(E36*F36)*H36/100</f>
        <v>18.72</v>
      </c>
    </row>
    <row r="37" spans="2:10" x14ac:dyDescent="0.2">
      <c r="B37" s="21"/>
      <c r="D37" s="27"/>
      <c r="E37" s="27"/>
      <c r="F37" s="21"/>
      <c r="G37" s="28"/>
      <c r="H37" s="29" t="str">
        <f t="shared" si="1"/>
        <v/>
      </c>
      <c r="I37" s="27"/>
    </row>
    <row r="38" spans="2:10" x14ac:dyDescent="0.2">
      <c r="B38" s="21">
        <v>5</v>
      </c>
      <c r="C38" s="19" t="s">
        <v>84</v>
      </c>
      <c r="D38" s="27">
        <v>12.2</v>
      </c>
      <c r="E38" s="27">
        <v>15</v>
      </c>
      <c r="F38" s="21">
        <v>39</v>
      </c>
      <c r="G38" s="28">
        <f>'Método de Mensuração SGP'!N34</f>
        <v>2</v>
      </c>
      <c r="H38" s="29">
        <f t="shared" si="1"/>
        <v>3</v>
      </c>
      <c r="I38" s="27">
        <f>(E38*F38)*H38/100</f>
        <v>17.55</v>
      </c>
    </row>
    <row r="39" spans="2:10" x14ac:dyDescent="0.2">
      <c r="B39" s="21"/>
      <c r="D39" s="27"/>
      <c r="E39" s="27"/>
      <c r="F39" s="21"/>
      <c r="G39" s="28"/>
      <c r="H39" s="29" t="str">
        <f t="shared" si="1"/>
        <v/>
      </c>
      <c r="I39" s="27"/>
    </row>
    <row r="40" spans="2:10" x14ac:dyDescent="0.2">
      <c r="B40" s="21">
        <v>6</v>
      </c>
      <c r="C40" s="19" t="s">
        <v>85</v>
      </c>
      <c r="D40" s="27">
        <v>10.88</v>
      </c>
      <c r="E40" s="27">
        <v>14</v>
      </c>
      <c r="F40" s="21">
        <v>39</v>
      </c>
      <c r="G40" s="28">
        <f>'Método de Mensuração SGP'!N35</f>
        <v>1</v>
      </c>
      <c r="H40" s="29">
        <f t="shared" si="1"/>
        <v>5</v>
      </c>
      <c r="I40" s="27">
        <f>(E40*F40)*H40/100</f>
        <v>27.3</v>
      </c>
    </row>
    <row r="41" spans="2:10" x14ac:dyDescent="0.2">
      <c r="D41" s="27"/>
      <c r="E41" s="27"/>
      <c r="F41" s="21"/>
      <c r="G41" s="28"/>
      <c r="H41" s="28"/>
    </row>
    <row r="42" spans="2:10" x14ac:dyDescent="0.2">
      <c r="B42" s="32"/>
      <c r="C42" s="33" t="s">
        <v>86</v>
      </c>
      <c r="D42" s="33"/>
      <c r="E42" s="34"/>
      <c r="F42" s="35"/>
      <c r="G42" s="35"/>
      <c r="H42" s="33"/>
      <c r="I42" s="34">
        <f>SUM(I30:I41)</f>
        <v>154.05000000000001</v>
      </c>
      <c r="J42" s="36"/>
    </row>
    <row r="44" spans="2:10" ht="18" x14ac:dyDescent="0.2">
      <c r="B44" s="114" t="s">
        <v>87</v>
      </c>
      <c r="C44" s="114"/>
      <c r="D44" s="114"/>
      <c r="E44" s="114"/>
      <c r="F44" s="114"/>
      <c r="G44" s="114"/>
      <c r="H44" s="114"/>
      <c r="I44" s="114"/>
    </row>
    <row r="45" spans="2:10" x14ac:dyDescent="0.2">
      <c r="B45" s="37"/>
    </row>
    <row r="46" spans="2:10" x14ac:dyDescent="0.2">
      <c r="B46" s="20" t="s">
        <v>140</v>
      </c>
    </row>
    <row r="47" spans="2:10" x14ac:dyDescent="0.2">
      <c r="B47" s="20"/>
      <c r="E47" s="21" t="s">
        <v>45</v>
      </c>
      <c r="F47" s="21" t="s">
        <v>46</v>
      </c>
      <c r="G47" s="21" t="s">
        <v>47</v>
      </c>
      <c r="H47" s="21" t="s">
        <v>48</v>
      </c>
      <c r="I47" s="21" t="s">
        <v>49</v>
      </c>
    </row>
    <row r="48" spans="2:10" x14ac:dyDescent="0.2">
      <c r="B48" s="22"/>
      <c r="C48" s="22" t="s">
        <v>50</v>
      </c>
      <c r="D48" s="23" t="s">
        <v>51</v>
      </c>
      <c r="E48" s="23" t="s">
        <v>52</v>
      </c>
      <c r="F48" s="23" t="s">
        <v>53</v>
      </c>
      <c r="G48" s="23" t="s">
        <v>54</v>
      </c>
      <c r="H48" s="23" t="s">
        <v>55</v>
      </c>
      <c r="I48" s="23" t="s">
        <v>56</v>
      </c>
    </row>
    <row r="49" spans="2:10" x14ac:dyDescent="0.2">
      <c r="C49" s="19" t="s">
        <v>88</v>
      </c>
      <c r="D49" s="21" t="s">
        <v>58</v>
      </c>
      <c r="E49" s="21" t="s">
        <v>59</v>
      </c>
      <c r="F49" s="21" t="s">
        <v>60</v>
      </c>
      <c r="G49" s="21" t="s">
        <v>61</v>
      </c>
      <c r="H49" s="21" t="s">
        <v>62</v>
      </c>
      <c r="I49" s="21" t="s">
        <v>63</v>
      </c>
    </row>
    <row r="50" spans="2:10" x14ac:dyDescent="0.2">
      <c r="D50" s="21" t="s">
        <v>64</v>
      </c>
      <c r="E50" s="21" t="s">
        <v>65</v>
      </c>
      <c r="F50" s="21" t="s">
        <v>65</v>
      </c>
      <c r="G50" s="21" t="s">
        <v>66</v>
      </c>
      <c r="H50" s="21" t="s">
        <v>67</v>
      </c>
      <c r="I50" s="21" t="s">
        <v>68</v>
      </c>
    </row>
    <row r="51" spans="2:10" x14ac:dyDescent="0.2">
      <c r="B51" s="24"/>
      <c r="C51" s="24"/>
      <c r="D51" s="25"/>
      <c r="E51" s="25"/>
      <c r="F51" s="25"/>
      <c r="G51" s="25"/>
      <c r="H51" s="25" t="s">
        <v>69</v>
      </c>
      <c r="I51" s="26" t="s">
        <v>70</v>
      </c>
    </row>
    <row r="52" spans="2:10" x14ac:dyDescent="0.2">
      <c r="B52" s="21">
        <v>1</v>
      </c>
      <c r="C52" s="19" t="s">
        <v>89</v>
      </c>
      <c r="D52" s="27">
        <v>21.05</v>
      </c>
      <c r="E52" s="27">
        <v>24</v>
      </c>
      <c r="F52" s="57">
        <v>19</v>
      </c>
      <c r="G52" s="28">
        <f>'Método de Mensuração SGP'!N38</f>
        <v>1</v>
      </c>
      <c r="H52" s="29">
        <f>IF(G52=1,5,IF(G52=2,3,IF(G52=3,1,IF(G52=4,0,""))))</f>
        <v>5</v>
      </c>
      <c r="I52" s="27">
        <f>(E52*F52)*H52/100</f>
        <v>22.8</v>
      </c>
    </row>
    <row r="53" spans="2:10" x14ac:dyDescent="0.2">
      <c r="B53" s="21"/>
      <c r="D53" s="27"/>
      <c r="E53" s="27"/>
      <c r="F53" s="21"/>
      <c r="G53" s="28"/>
      <c r="H53" s="29" t="str">
        <f t="shared" ref="H53:H62" si="2">IF(G53=1,5,IF(G53=2,3,IF(G53=3,1,IF(G53=4,0,""))))</f>
        <v/>
      </c>
      <c r="I53" s="27"/>
    </row>
    <row r="54" spans="2:10" x14ac:dyDescent="0.2">
      <c r="B54" s="21">
        <v>2</v>
      </c>
      <c r="C54" s="19" t="s">
        <v>90</v>
      </c>
      <c r="D54" s="27">
        <v>16.329999999999998</v>
      </c>
      <c r="E54" s="27">
        <v>21</v>
      </c>
      <c r="F54" s="21">
        <v>19</v>
      </c>
      <c r="G54" s="28">
        <f>'Método de Mensuração SGP'!N39</f>
        <v>3</v>
      </c>
      <c r="H54" s="29">
        <f t="shared" si="2"/>
        <v>1</v>
      </c>
      <c r="I54" s="27">
        <f>(E54*F54)*H54/100</f>
        <v>3.99</v>
      </c>
    </row>
    <row r="55" spans="2:10" x14ac:dyDescent="0.2">
      <c r="B55" s="21"/>
      <c r="D55" s="27"/>
      <c r="E55" s="27"/>
      <c r="F55" s="21"/>
      <c r="G55" s="28"/>
      <c r="H55" s="29" t="str">
        <f t="shared" si="2"/>
        <v/>
      </c>
      <c r="I55" s="27"/>
    </row>
    <row r="56" spans="2:10" x14ac:dyDescent="0.2">
      <c r="B56" s="21">
        <v>3</v>
      </c>
      <c r="C56" s="19" t="s">
        <v>91</v>
      </c>
      <c r="D56" s="27">
        <v>16.329999999999998</v>
      </c>
      <c r="E56" s="27">
        <v>18</v>
      </c>
      <c r="F56" s="21">
        <v>19</v>
      </c>
      <c r="G56" s="28">
        <f>'Método de Mensuração SGP'!N40</f>
        <v>4</v>
      </c>
      <c r="H56" s="29">
        <f t="shared" si="2"/>
        <v>0</v>
      </c>
      <c r="I56" s="27">
        <f>(E56*F56)*H56/100</f>
        <v>0</v>
      </c>
    </row>
    <row r="57" spans="2:10" x14ac:dyDescent="0.2">
      <c r="B57" s="21"/>
      <c r="D57" s="27"/>
      <c r="E57" s="27"/>
      <c r="F57" s="21"/>
      <c r="G57" s="28"/>
      <c r="H57" s="29" t="str">
        <f t="shared" si="2"/>
        <v/>
      </c>
      <c r="I57" s="27"/>
    </row>
    <row r="58" spans="2:10" x14ac:dyDescent="0.2">
      <c r="B58" s="21">
        <v>4</v>
      </c>
      <c r="C58" s="19" t="s">
        <v>92</v>
      </c>
      <c r="D58" s="27">
        <v>11.61</v>
      </c>
      <c r="E58" s="27">
        <v>14</v>
      </c>
      <c r="F58" s="21">
        <v>19</v>
      </c>
      <c r="G58" s="28">
        <f>'Método de Mensuração SGP'!N41</f>
        <v>2</v>
      </c>
      <c r="H58" s="29">
        <f t="shared" si="2"/>
        <v>3</v>
      </c>
      <c r="I58" s="27">
        <f>(E58*F58)*H58/100</f>
        <v>7.98</v>
      </c>
    </row>
    <row r="59" spans="2:10" x14ac:dyDescent="0.2">
      <c r="B59" s="21"/>
      <c r="D59" s="27"/>
      <c r="E59" s="27"/>
      <c r="F59" s="21"/>
      <c r="G59" s="28"/>
      <c r="H59" s="29" t="str">
        <f t="shared" si="2"/>
        <v/>
      </c>
      <c r="I59" s="27"/>
    </row>
    <row r="60" spans="2:10" x14ac:dyDescent="0.2">
      <c r="B60" s="21">
        <v>5</v>
      </c>
      <c r="C60" s="19" t="s">
        <v>93</v>
      </c>
      <c r="D60" s="27">
        <v>11.61</v>
      </c>
      <c r="E60" s="27">
        <v>14</v>
      </c>
      <c r="F60" s="21">
        <v>19</v>
      </c>
      <c r="G60" s="28">
        <f>'Método de Mensuração SGP'!N42</f>
        <v>1</v>
      </c>
      <c r="H60" s="29">
        <f t="shared" si="2"/>
        <v>5</v>
      </c>
      <c r="I60" s="27">
        <f>(E60*F60)*H60/100</f>
        <v>13.3</v>
      </c>
    </row>
    <row r="61" spans="2:10" x14ac:dyDescent="0.2">
      <c r="B61" s="21"/>
      <c r="D61" s="27"/>
      <c r="E61" s="27"/>
      <c r="F61" s="21"/>
      <c r="G61" s="28"/>
      <c r="H61" s="29" t="str">
        <f t="shared" si="2"/>
        <v/>
      </c>
      <c r="I61" s="27"/>
    </row>
    <row r="62" spans="2:10" x14ac:dyDescent="0.2">
      <c r="B62" s="21">
        <v>6</v>
      </c>
      <c r="C62" s="19" t="s">
        <v>94</v>
      </c>
      <c r="D62" s="27">
        <v>8.9499999999999993</v>
      </c>
      <c r="E62" s="27">
        <v>9</v>
      </c>
      <c r="F62" s="21">
        <v>19</v>
      </c>
      <c r="G62" s="28">
        <f>'Método de Mensuração SGP'!N43</f>
        <v>1</v>
      </c>
      <c r="H62" s="29">
        <f t="shared" si="2"/>
        <v>5</v>
      </c>
      <c r="I62" s="27">
        <f>(E62*F62)*H62/100</f>
        <v>8.5500000000000007</v>
      </c>
    </row>
    <row r="63" spans="2:10" x14ac:dyDescent="0.2">
      <c r="D63" s="27"/>
      <c r="E63" s="27"/>
      <c r="F63" s="21"/>
      <c r="G63" s="28"/>
      <c r="H63" s="29"/>
    </row>
    <row r="64" spans="2:10" x14ac:dyDescent="0.2">
      <c r="B64" s="32"/>
      <c r="C64" s="33" t="s">
        <v>95</v>
      </c>
      <c r="D64" s="33"/>
      <c r="E64" s="34"/>
      <c r="F64" s="35"/>
      <c r="G64" s="35"/>
      <c r="H64" s="33"/>
      <c r="I64" s="34">
        <f>SUM(I52:I63)</f>
        <v>56.61999999999999</v>
      </c>
      <c r="J64" s="36"/>
    </row>
    <row r="66" spans="2:10" ht="18" x14ac:dyDescent="0.2">
      <c r="B66" s="114" t="s">
        <v>96</v>
      </c>
      <c r="C66" s="114"/>
      <c r="D66" s="114"/>
      <c r="E66" s="114"/>
      <c r="F66" s="114"/>
      <c r="G66" s="114"/>
      <c r="H66" s="114"/>
      <c r="I66" s="114"/>
    </row>
    <row r="67" spans="2:10" x14ac:dyDescent="0.2">
      <c r="B67" s="117"/>
      <c r="C67" s="117"/>
      <c r="D67" s="117"/>
      <c r="E67" s="117"/>
      <c r="F67" s="117"/>
      <c r="G67" s="117"/>
      <c r="H67" s="117"/>
      <c r="I67" s="117"/>
      <c r="J67" s="117"/>
    </row>
    <row r="68" spans="2:10" x14ac:dyDescent="0.2">
      <c r="B68" s="20" t="s">
        <v>140</v>
      </c>
    </row>
    <row r="69" spans="2:10" x14ac:dyDescent="0.2">
      <c r="B69" s="20"/>
      <c r="E69" s="21" t="s">
        <v>45</v>
      </c>
      <c r="F69" s="21" t="s">
        <v>46</v>
      </c>
      <c r="G69" s="21" t="s">
        <v>47</v>
      </c>
      <c r="H69" s="21" t="s">
        <v>48</v>
      </c>
      <c r="I69" s="21" t="s">
        <v>49</v>
      </c>
    </row>
    <row r="70" spans="2:10" x14ac:dyDescent="0.2">
      <c r="B70" s="22"/>
      <c r="C70" s="22" t="s">
        <v>50</v>
      </c>
      <c r="D70" s="23" t="s">
        <v>51</v>
      </c>
      <c r="E70" s="23" t="s">
        <v>52</v>
      </c>
      <c r="F70" s="23" t="s">
        <v>53</v>
      </c>
      <c r="G70" s="23" t="s">
        <v>54</v>
      </c>
      <c r="H70" s="23" t="s">
        <v>55</v>
      </c>
      <c r="I70" s="23" t="s">
        <v>56</v>
      </c>
    </row>
    <row r="71" spans="2:10" x14ac:dyDescent="0.2">
      <c r="C71" s="19" t="s">
        <v>97</v>
      </c>
      <c r="D71" s="21" t="s">
        <v>58</v>
      </c>
      <c r="E71" s="21" t="s">
        <v>59</v>
      </c>
      <c r="F71" s="21" t="s">
        <v>60</v>
      </c>
      <c r="G71" s="21" t="s">
        <v>61</v>
      </c>
      <c r="H71" s="21" t="s">
        <v>62</v>
      </c>
      <c r="I71" s="21" t="s">
        <v>63</v>
      </c>
    </row>
    <row r="72" spans="2:10" x14ac:dyDescent="0.2">
      <c r="D72" s="21" t="s">
        <v>64</v>
      </c>
      <c r="E72" s="21" t="s">
        <v>65</v>
      </c>
      <c r="F72" s="21" t="s">
        <v>65</v>
      </c>
      <c r="G72" s="21" t="s">
        <v>66</v>
      </c>
      <c r="H72" s="21" t="s">
        <v>67</v>
      </c>
      <c r="I72" s="21" t="s">
        <v>68</v>
      </c>
    </row>
    <row r="73" spans="2:10" x14ac:dyDescent="0.2">
      <c r="B73" s="24"/>
      <c r="C73" s="24"/>
      <c r="D73" s="25"/>
      <c r="E73" s="25"/>
      <c r="F73" s="25"/>
      <c r="G73" s="25"/>
      <c r="H73" s="25" t="s">
        <v>69</v>
      </c>
      <c r="I73" s="26" t="s">
        <v>70</v>
      </c>
    </row>
    <row r="74" spans="2:10" x14ac:dyDescent="0.2">
      <c r="B74" s="21">
        <v>1</v>
      </c>
      <c r="C74" s="19" t="s">
        <v>98</v>
      </c>
      <c r="D74" s="27">
        <v>28.95</v>
      </c>
      <c r="E74" s="27">
        <v>26</v>
      </c>
      <c r="F74" s="27">
        <v>17</v>
      </c>
      <c r="G74" s="29">
        <f>'Método de Mensuração SGP'!N46</f>
        <v>2</v>
      </c>
      <c r="H74" s="29">
        <f>IF(G74=1,5,IF(G74=2,3,IF(G74=3,1,IF(G74=4,0,""))))</f>
        <v>3</v>
      </c>
      <c r="I74" s="27">
        <f>(E74*F74)*H74/100</f>
        <v>13.26</v>
      </c>
    </row>
    <row r="75" spans="2:10" x14ac:dyDescent="0.2">
      <c r="B75" s="21"/>
      <c r="D75" s="27"/>
      <c r="E75" s="27"/>
      <c r="F75" s="27"/>
      <c r="G75" s="29"/>
      <c r="H75" s="29" t="str">
        <f t="shared" ref="H75:H84" si="3">IF(G75=1,5,IF(G75=2,3,IF(G75=3,1,IF(G75=4,0,""))))</f>
        <v/>
      </c>
      <c r="I75" s="27"/>
    </row>
    <row r="76" spans="2:10" x14ac:dyDescent="0.2">
      <c r="B76" s="21">
        <v>2</v>
      </c>
      <c r="C76" s="19" t="s">
        <v>99</v>
      </c>
      <c r="D76" s="27">
        <v>26.32</v>
      </c>
      <c r="E76" s="27">
        <v>24</v>
      </c>
      <c r="F76" s="27">
        <v>17</v>
      </c>
      <c r="G76" s="29">
        <f>'Método de Mensuração SGP'!N47</f>
        <v>1</v>
      </c>
      <c r="H76" s="29">
        <f t="shared" si="3"/>
        <v>5</v>
      </c>
      <c r="I76" s="27">
        <f>(E76*F76)*H76/100</f>
        <v>20.399999999999999</v>
      </c>
    </row>
    <row r="77" spans="2:10" x14ac:dyDescent="0.2">
      <c r="B77" s="21"/>
      <c r="D77" s="27"/>
      <c r="E77" s="27"/>
      <c r="F77" s="27"/>
      <c r="G77" s="29"/>
      <c r="H77" s="29" t="str">
        <f t="shared" si="3"/>
        <v/>
      </c>
      <c r="I77" s="27"/>
    </row>
    <row r="78" spans="2:10" x14ac:dyDescent="0.2">
      <c r="B78" s="21">
        <v>3</v>
      </c>
      <c r="C78" s="19" t="s">
        <v>100</v>
      </c>
      <c r="D78" s="27">
        <v>23.68</v>
      </c>
      <c r="E78" s="27">
        <v>22</v>
      </c>
      <c r="F78" s="27">
        <v>17</v>
      </c>
      <c r="G78" s="29">
        <f>'Método de Mensuração SGP'!N48</f>
        <v>2</v>
      </c>
      <c r="H78" s="29">
        <f t="shared" si="3"/>
        <v>3</v>
      </c>
      <c r="I78" s="27">
        <f>(E78*F78)*H78/100</f>
        <v>11.22</v>
      </c>
    </row>
    <row r="79" spans="2:10" x14ac:dyDescent="0.2">
      <c r="B79" s="21"/>
      <c r="D79" s="27"/>
      <c r="E79" s="27"/>
      <c r="F79" s="27"/>
      <c r="G79" s="29"/>
      <c r="H79" s="29" t="str">
        <f t="shared" si="3"/>
        <v/>
      </c>
      <c r="I79" s="27"/>
    </row>
    <row r="80" spans="2:10" x14ac:dyDescent="0.2">
      <c r="B80" s="21">
        <v>4</v>
      </c>
      <c r="C80" s="19" t="s">
        <v>101</v>
      </c>
      <c r="D80" s="27">
        <v>18.420000000000002</v>
      </c>
      <c r="E80" s="27">
        <v>17</v>
      </c>
      <c r="F80" s="27">
        <v>17</v>
      </c>
      <c r="G80" s="29">
        <f>'Método de Mensuração SGP'!N49</f>
        <v>1</v>
      </c>
      <c r="H80" s="29">
        <f t="shared" si="3"/>
        <v>5</v>
      </c>
      <c r="I80" s="27">
        <f>(E80*F80)*H80/100</f>
        <v>14.45</v>
      </c>
    </row>
    <row r="81" spans="2:9" x14ac:dyDescent="0.2">
      <c r="B81" s="21"/>
      <c r="D81" s="27"/>
      <c r="E81" s="27"/>
      <c r="F81" s="27"/>
      <c r="G81" s="29"/>
      <c r="H81" s="29" t="str">
        <f t="shared" si="3"/>
        <v/>
      </c>
      <c r="I81" s="27"/>
    </row>
    <row r="82" spans="2:9" x14ac:dyDescent="0.2">
      <c r="B82" s="21">
        <v>5</v>
      </c>
      <c r="C82" s="19" t="s">
        <v>102</v>
      </c>
      <c r="D82" s="27">
        <v>2.63</v>
      </c>
      <c r="E82" s="27">
        <v>2</v>
      </c>
      <c r="F82" s="27">
        <v>17</v>
      </c>
      <c r="G82" s="29">
        <f>'Método de Mensuração SGP'!N50</f>
        <v>2</v>
      </c>
      <c r="H82" s="29">
        <f t="shared" si="3"/>
        <v>3</v>
      </c>
      <c r="I82" s="27">
        <f>(E82*F82)*H82/100</f>
        <v>1.02</v>
      </c>
    </row>
    <row r="83" spans="2:9" x14ac:dyDescent="0.2">
      <c r="B83" s="21"/>
      <c r="D83" s="27"/>
      <c r="E83" s="27"/>
      <c r="F83" s="27"/>
      <c r="G83" s="29"/>
      <c r="H83" s="29" t="str">
        <f t="shared" si="3"/>
        <v/>
      </c>
      <c r="I83" s="27"/>
    </row>
    <row r="84" spans="2:9" x14ac:dyDescent="0.2">
      <c r="B84" s="21">
        <v>6</v>
      </c>
      <c r="C84" s="19" t="s">
        <v>103</v>
      </c>
      <c r="D84" s="27">
        <v>10.39</v>
      </c>
      <c r="E84" s="27">
        <v>9</v>
      </c>
      <c r="F84" s="27">
        <v>17</v>
      </c>
      <c r="G84" s="29">
        <f>'Método de Mensuração SGP'!N51</f>
        <v>1</v>
      </c>
      <c r="H84" s="29">
        <f t="shared" si="3"/>
        <v>5</v>
      </c>
      <c r="I84" s="27">
        <f>(E84*F84)*H84/100</f>
        <v>7.65</v>
      </c>
    </row>
    <row r="85" spans="2:9" x14ac:dyDescent="0.2">
      <c r="D85" s="27"/>
      <c r="E85" s="27"/>
      <c r="F85" s="27"/>
      <c r="G85" s="29"/>
      <c r="H85" s="29"/>
    </row>
    <row r="86" spans="2:9" x14ac:dyDescent="0.2">
      <c r="B86" s="32"/>
      <c r="C86" s="33" t="s">
        <v>104</v>
      </c>
      <c r="D86" s="33"/>
      <c r="E86" s="34"/>
      <c r="F86" s="35"/>
      <c r="G86" s="35"/>
      <c r="H86" s="33"/>
      <c r="I86" s="34">
        <f>SUM(I74:I85)</f>
        <v>68</v>
      </c>
    </row>
    <row r="88" spans="2:9" ht="18" x14ac:dyDescent="0.2">
      <c r="B88" s="114" t="s">
        <v>105</v>
      </c>
      <c r="C88" s="114"/>
      <c r="D88" s="114"/>
      <c r="E88" s="114"/>
      <c r="F88" s="114"/>
      <c r="G88" s="114"/>
      <c r="H88" s="114"/>
      <c r="I88" s="114"/>
    </row>
    <row r="90" spans="2:9" x14ac:dyDescent="0.2">
      <c r="B90" s="38" t="s">
        <v>106</v>
      </c>
      <c r="C90" s="31"/>
    </row>
    <row r="91" spans="2:9" x14ac:dyDescent="0.2">
      <c r="B91" s="38" t="s">
        <v>107</v>
      </c>
      <c r="C91" s="31"/>
    </row>
    <row r="92" spans="2:9" x14ac:dyDescent="0.2">
      <c r="B92" s="38" t="s">
        <v>108</v>
      </c>
      <c r="C92" s="31"/>
    </row>
    <row r="93" spans="2:9" x14ac:dyDescent="0.2">
      <c r="B93" s="31" t="s">
        <v>109</v>
      </c>
      <c r="C93" s="31"/>
    </row>
    <row r="94" spans="2:9" x14ac:dyDescent="0.2">
      <c r="B94" s="31" t="s">
        <v>110</v>
      </c>
      <c r="C94" s="31"/>
    </row>
  </sheetData>
  <mergeCells count="7">
    <mergeCell ref="B88:I88"/>
    <mergeCell ref="B1:I1"/>
    <mergeCell ref="B22:I22"/>
    <mergeCell ref="B23:J23"/>
    <mergeCell ref="B44:I44"/>
    <mergeCell ref="B66:I66"/>
    <mergeCell ref="B67:J67"/>
  </mergeCells>
  <pageMargins left="0.51181102362204722" right="0.51181102362204722" top="0.78740157480314965" bottom="0.78740157480314965" header="0.31496062992125984" footer="0.31496062992125984"/>
  <pageSetup paperSize="9" scale="4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M74"/>
  <sheetViews>
    <sheetView zoomScale="108" workbookViewId="0">
      <selection activeCell="G81" sqref="G81"/>
    </sheetView>
  </sheetViews>
  <sheetFormatPr baseColWidth="10" defaultColWidth="9.1640625" defaultRowHeight="16" x14ac:dyDescent="0.2"/>
  <cols>
    <col min="1" max="2" width="9.1640625" style="39"/>
    <col min="3" max="3" width="47.1640625" style="39" customWidth="1"/>
    <col min="4" max="4" width="14.5" style="39" customWidth="1"/>
    <col min="5" max="5" width="11" style="39" customWidth="1"/>
    <col min="6" max="6" width="3.1640625" style="39" customWidth="1"/>
    <col min="7" max="7" width="12.1640625" style="39" bestFit="1" customWidth="1"/>
    <col min="8" max="8" width="22.5" style="39" customWidth="1"/>
    <col min="9" max="16384" width="9.1640625" style="39"/>
  </cols>
  <sheetData>
    <row r="2" spans="2:13" x14ac:dyDescent="0.2">
      <c r="B2" s="40" t="s">
        <v>111</v>
      </c>
      <c r="C2" s="40"/>
      <c r="D2" s="40"/>
      <c r="E2" s="40"/>
      <c r="F2" s="40"/>
      <c r="G2" s="40"/>
      <c r="H2" s="40"/>
      <c r="I2" s="40"/>
    </row>
    <row r="3" spans="2:13" x14ac:dyDescent="0.2">
      <c r="B3" s="40"/>
      <c r="C3" s="40"/>
      <c r="D3" s="40"/>
      <c r="E3" s="40"/>
      <c r="F3" s="40"/>
      <c r="G3" s="40"/>
      <c r="H3" s="40"/>
      <c r="I3" s="40"/>
    </row>
    <row r="4" spans="2:13" x14ac:dyDescent="0.2">
      <c r="B4" s="54" t="s">
        <v>141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6" spans="2:13" x14ac:dyDescent="0.2">
      <c r="B6" s="22"/>
      <c r="C6" s="41" t="s">
        <v>50</v>
      </c>
      <c r="D6" s="23" t="s">
        <v>56</v>
      </c>
      <c r="E6" s="23" t="s">
        <v>56</v>
      </c>
      <c r="F6" s="22"/>
      <c r="G6" s="118" t="s">
        <v>112</v>
      </c>
      <c r="H6" s="118"/>
    </row>
    <row r="7" spans="2:13" x14ac:dyDescent="0.2">
      <c r="B7" s="19"/>
      <c r="C7" s="37" t="s">
        <v>57</v>
      </c>
      <c r="D7" s="21" t="s">
        <v>113</v>
      </c>
      <c r="E7" s="21" t="s">
        <v>113</v>
      </c>
      <c r="F7" s="21"/>
      <c r="G7" s="119" t="s">
        <v>114</v>
      </c>
      <c r="H7" s="119"/>
    </row>
    <row r="8" spans="2:13" x14ac:dyDescent="0.2">
      <c r="B8" s="19"/>
      <c r="C8" s="42"/>
      <c r="D8" s="21" t="s">
        <v>68</v>
      </c>
      <c r="E8" s="21" t="s">
        <v>59</v>
      </c>
      <c r="F8" s="21"/>
      <c r="G8" s="120" t="s">
        <v>115</v>
      </c>
      <c r="H8" s="120"/>
    </row>
    <row r="9" spans="2:13" x14ac:dyDescent="0.2">
      <c r="B9" s="24"/>
      <c r="C9" s="43"/>
      <c r="D9" s="44"/>
      <c r="E9" s="25"/>
      <c r="F9" s="25"/>
      <c r="G9" s="121" t="s">
        <v>116</v>
      </c>
      <c r="H9" s="121"/>
    </row>
    <row r="10" spans="2:13" x14ac:dyDescent="0.2">
      <c r="B10" s="21">
        <v>1</v>
      </c>
      <c r="C10" s="19" t="s">
        <v>71</v>
      </c>
      <c r="D10" s="45">
        <v>31</v>
      </c>
      <c r="E10" s="55">
        <f>Pontuação!I8</f>
        <v>18.75</v>
      </c>
      <c r="H10" s="46">
        <f>(E10/D10)*100</f>
        <v>60.483870967741936</v>
      </c>
    </row>
    <row r="11" spans="2:13" x14ac:dyDescent="0.2">
      <c r="B11" s="21"/>
      <c r="C11" s="19"/>
      <c r="D11" s="45"/>
      <c r="E11" s="55"/>
    </row>
    <row r="12" spans="2:13" x14ac:dyDescent="0.2">
      <c r="B12" s="21">
        <v>2</v>
      </c>
      <c r="C12" s="19" t="s">
        <v>72</v>
      </c>
      <c r="D12" s="45">
        <v>24</v>
      </c>
      <c r="E12" s="55">
        <f>Pontuação!I10</f>
        <v>23.75</v>
      </c>
      <c r="H12" s="46">
        <f>(E12/D12)*100</f>
        <v>98.958333333333343</v>
      </c>
    </row>
    <row r="13" spans="2:13" x14ac:dyDescent="0.2">
      <c r="B13" s="21"/>
      <c r="C13" s="19"/>
      <c r="D13" s="45"/>
      <c r="E13" s="55"/>
    </row>
    <row r="14" spans="2:13" x14ac:dyDescent="0.2">
      <c r="B14" s="21">
        <v>3</v>
      </c>
      <c r="C14" s="19" t="s">
        <v>73</v>
      </c>
      <c r="D14" s="45">
        <v>24</v>
      </c>
      <c r="E14" s="55">
        <f>Pontuação!I12</f>
        <v>14.25</v>
      </c>
      <c r="H14" s="46">
        <f>(E14/D14)*100</f>
        <v>59.375</v>
      </c>
    </row>
    <row r="15" spans="2:13" x14ac:dyDescent="0.2">
      <c r="B15" s="21"/>
      <c r="C15" s="19"/>
      <c r="D15" s="45"/>
      <c r="E15" s="55"/>
    </row>
    <row r="16" spans="2:13" x14ac:dyDescent="0.2">
      <c r="B16" s="21">
        <v>4</v>
      </c>
      <c r="C16" s="19" t="s">
        <v>74</v>
      </c>
      <c r="D16" s="45">
        <v>18</v>
      </c>
      <c r="E16" s="55">
        <f>Pontuação!I14</f>
        <v>10.5</v>
      </c>
      <c r="H16" s="46">
        <f>(E16/D16)*100</f>
        <v>58.333333333333336</v>
      </c>
    </row>
    <row r="17" spans="2:8" x14ac:dyDescent="0.2">
      <c r="B17" s="21"/>
      <c r="C17" s="19"/>
      <c r="D17" s="45"/>
      <c r="E17" s="55"/>
    </row>
    <row r="18" spans="2:8" x14ac:dyDescent="0.2">
      <c r="B18" s="21">
        <v>5</v>
      </c>
      <c r="C18" s="19" t="s">
        <v>75</v>
      </c>
      <c r="D18" s="45">
        <v>17</v>
      </c>
      <c r="E18" s="55">
        <f>Pontuação!I16</f>
        <v>9.75</v>
      </c>
      <c r="H18" s="46">
        <f>(E18/D18)*100</f>
        <v>57.352941176470587</v>
      </c>
    </row>
    <row r="19" spans="2:8" x14ac:dyDescent="0.2">
      <c r="B19" s="21"/>
      <c r="C19" s="19"/>
      <c r="D19" s="45"/>
      <c r="E19" s="55"/>
    </row>
    <row r="20" spans="2:8" x14ac:dyDescent="0.2">
      <c r="B20" s="25">
        <v>6</v>
      </c>
      <c r="C20" s="24" t="s">
        <v>76</v>
      </c>
      <c r="D20" s="47">
        <v>13</v>
      </c>
      <c r="E20" s="55">
        <f>Pontuação!I18</f>
        <v>12.5</v>
      </c>
      <c r="F20" s="44"/>
      <c r="G20" s="44"/>
      <c r="H20" s="48">
        <f>(E20/D20)*100</f>
        <v>96.15384615384616</v>
      </c>
    </row>
    <row r="23" spans="2:8" x14ac:dyDescent="0.2">
      <c r="B23" s="22"/>
      <c r="C23" s="41" t="s">
        <v>50</v>
      </c>
      <c r="D23" s="23" t="s">
        <v>56</v>
      </c>
      <c r="E23" s="23" t="s">
        <v>56</v>
      </c>
      <c r="F23" s="22"/>
      <c r="G23" s="118" t="s">
        <v>112</v>
      </c>
      <c r="H23" s="118"/>
    </row>
    <row r="24" spans="2:8" x14ac:dyDescent="0.2">
      <c r="B24" s="19"/>
      <c r="C24" s="37" t="s">
        <v>79</v>
      </c>
      <c r="D24" s="21" t="s">
        <v>113</v>
      </c>
      <c r="E24" s="21" t="s">
        <v>113</v>
      </c>
      <c r="F24" s="21"/>
      <c r="G24" s="119" t="s">
        <v>114</v>
      </c>
      <c r="H24" s="119"/>
    </row>
    <row r="25" spans="2:8" x14ac:dyDescent="0.2">
      <c r="B25" s="19"/>
      <c r="C25" s="42"/>
      <c r="D25" s="21" t="s">
        <v>68</v>
      </c>
      <c r="E25" s="21" t="s">
        <v>59</v>
      </c>
      <c r="F25" s="21"/>
      <c r="G25" s="120" t="s">
        <v>115</v>
      </c>
      <c r="H25" s="120"/>
    </row>
    <row r="26" spans="2:8" x14ac:dyDescent="0.2">
      <c r="B26" s="24"/>
      <c r="C26" s="43"/>
      <c r="D26" s="44"/>
      <c r="E26" s="25"/>
      <c r="F26" s="25"/>
      <c r="G26" s="121" t="s">
        <v>116</v>
      </c>
      <c r="H26" s="121"/>
    </row>
    <row r="27" spans="2:8" x14ac:dyDescent="0.2">
      <c r="B27" s="21">
        <v>1</v>
      </c>
      <c r="C27" s="19" t="s">
        <v>80</v>
      </c>
      <c r="D27" s="45">
        <v>37</v>
      </c>
      <c r="E27" s="55">
        <f>Pontuação!I30</f>
        <v>37.049999999999997</v>
      </c>
      <c r="H27" s="46">
        <f>(E27/D27)*100</f>
        <v>100.13513513513513</v>
      </c>
    </row>
    <row r="28" spans="2:8" x14ac:dyDescent="0.2">
      <c r="B28" s="21"/>
      <c r="C28" s="19"/>
      <c r="D28" s="45"/>
      <c r="E28" s="55"/>
    </row>
    <row r="29" spans="2:8" x14ac:dyDescent="0.2">
      <c r="B29" s="21">
        <v>2</v>
      </c>
      <c r="C29" s="19" t="s">
        <v>81</v>
      </c>
      <c r="D29" s="45">
        <v>37</v>
      </c>
      <c r="E29" s="55">
        <f>Pontuação!I32</f>
        <v>22.23</v>
      </c>
      <c r="H29" s="46">
        <f>(E29/D29)*100</f>
        <v>60.081081081081081</v>
      </c>
    </row>
    <row r="30" spans="2:8" x14ac:dyDescent="0.2">
      <c r="B30" s="21"/>
      <c r="C30" s="19"/>
      <c r="D30" s="45"/>
      <c r="E30" s="55"/>
    </row>
    <row r="31" spans="2:8" x14ac:dyDescent="0.2">
      <c r="B31" s="21">
        <v>3</v>
      </c>
      <c r="C31" s="19" t="s">
        <v>82</v>
      </c>
      <c r="D31" s="45">
        <v>32</v>
      </c>
      <c r="E31" s="55">
        <f>Pontuação!I34</f>
        <v>31.2</v>
      </c>
      <c r="H31" s="46">
        <f>(E31/D31)*100</f>
        <v>97.5</v>
      </c>
    </row>
    <row r="32" spans="2:8" x14ac:dyDescent="0.2">
      <c r="B32" s="21"/>
      <c r="C32" s="19"/>
      <c r="D32" s="45"/>
      <c r="E32" s="55"/>
    </row>
    <row r="33" spans="2:12" x14ac:dyDescent="0.2">
      <c r="B33" s="21">
        <v>4</v>
      </c>
      <c r="C33" s="19" t="s">
        <v>83</v>
      </c>
      <c r="D33" s="45">
        <v>34</v>
      </c>
      <c r="E33" s="55">
        <f>Pontuação!I36</f>
        <v>18.72</v>
      </c>
      <c r="H33" s="46">
        <f>(E33/D33)*100</f>
        <v>55.058823529411761</v>
      </c>
    </row>
    <row r="34" spans="2:12" x14ac:dyDescent="0.2">
      <c r="B34" s="21"/>
      <c r="C34" s="19"/>
      <c r="D34" s="45"/>
      <c r="E34" s="55"/>
    </row>
    <row r="35" spans="2:12" x14ac:dyDescent="0.2">
      <c r="B35" s="21">
        <v>5</v>
      </c>
      <c r="C35" s="19" t="s">
        <v>84</v>
      </c>
      <c r="D35" s="45">
        <v>29</v>
      </c>
      <c r="E35" s="55">
        <f>Pontuação!I38</f>
        <v>17.55</v>
      </c>
      <c r="H35" s="46">
        <f>(E35/D35)*100</f>
        <v>60.517241379310349</v>
      </c>
    </row>
    <row r="36" spans="2:12" x14ac:dyDescent="0.2">
      <c r="B36" s="21"/>
      <c r="C36" s="19"/>
      <c r="D36" s="45"/>
      <c r="E36" s="55"/>
    </row>
    <row r="37" spans="2:12" x14ac:dyDescent="0.2">
      <c r="B37" s="25">
        <v>6</v>
      </c>
      <c r="C37" s="24" t="s">
        <v>85</v>
      </c>
      <c r="D37" s="47">
        <v>27</v>
      </c>
      <c r="E37" s="55">
        <f>Pontuação!I40</f>
        <v>27.3</v>
      </c>
      <c r="F37" s="44"/>
      <c r="G37" s="44"/>
      <c r="H37" s="48">
        <f>(E37/D37)*100</f>
        <v>101.11111111111111</v>
      </c>
    </row>
    <row r="40" spans="2:12" x14ac:dyDescent="0.2">
      <c r="B40" s="22"/>
      <c r="C40" s="41" t="s">
        <v>50</v>
      </c>
      <c r="D40" s="23" t="s">
        <v>56</v>
      </c>
      <c r="E40" s="23" t="s">
        <v>56</v>
      </c>
      <c r="F40" s="22"/>
      <c r="G40" s="118" t="s">
        <v>112</v>
      </c>
      <c r="H40" s="118"/>
      <c r="I40" s="19"/>
    </row>
    <row r="41" spans="2:12" x14ac:dyDescent="0.2">
      <c r="B41" s="19"/>
      <c r="C41" s="37" t="s">
        <v>88</v>
      </c>
      <c r="D41" s="21" t="s">
        <v>113</v>
      </c>
      <c r="E41" s="21" t="s">
        <v>113</v>
      </c>
      <c r="F41" s="21"/>
      <c r="G41" s="119" t="s">
        <v>114</v>
      </c>
      <c r="H41" s="119"/>
      <c r="I41" s="19"/>
    </row>
    <row r="42" spans="2:12" x14ac:dyDescent="0.2">
      <c r="B42" s="19"/>
      <c r="C42" s="42"/>
      <c r="D42" s="21" t="s">
        <v>68</v>
      </c>
      <c r="E42" s="21" t="s">
        <v>59</v>
      </c>
      <c r="F42" s="21"/>
      <c r="G42" s="120" t="s">
        <v>115</v>
      </c>
      <c r="H42" s="120"/>
      <c r="I42" s="19"/>
      <c r="J42" s="122"/>
      <c r="K42" s="122"/>
      <c r="L42" s="122"/>
    </row>
    <row r="43" spans="2:12" x14ac:dyDescent="0.2">
      <c r="B43" s="19"/>
      <c r="C43" s="42"/>
      <c r="E43" s="21"/>
      <c r="F43" s="25"/>
      <c r="G43" s="121" t="s">
        <v>116</v>
      </c>
      <c r="H43" s="121"/>
      <c r="I43" s="19"/>
      <c r="J43" s="122"/>
      <c r="K43" s="122"/>
      <c r="L43" s="122"/>
    </row>
    <row r="44" spans="2:12" x14ac:dyDescent="0.2">
      <c r="B44" s="23">
        <v>1</v>
      </c>
      <c r="C44" s="22" t="s">
        <v>89</v>
      </c>
      <c r="D44" s="49">
        <v>23</v>
      </c>
      <c r="E44" s="56">
        <f>Pontuação!I52</f>
        <v>22.8</v>
      </c>
      <c r="G44" s="50"/>
      <c r="H44" s="50">
        <f>(E44/D44)*100</f>
        <v>99.130434782608702</v>
      </c>
      <c r="I44" s="19"/>
      <c r="J44" s="122"/>
      <c r="K44" s="122"/>
      <c r="L44" s="122"/>
    </row>
    <row r="45" spans="2:12" x14ac:dyDescent="0.2">
      <c r="B45" s="21"/>
      <c r="C45" s="19"/>
      <c r="D45" s="27"/>
      <c r="E45" s="56"/>
      <c r="G45" s="21"/>
      <c r="H45" s="21"/>
      <c r="I45" s="19"/>
      <c r="J45" s="123"/>
      <c r="K45" s="123"/>
      <c r="L45" s="123"/>
    </row>
    <row r="46" spans="2:12" x14ac:dyDescent="0.2">
      <c r="B46" s="21">
        <v>2</v>
      </c>
      <c r="C46" s="19" t="s">
        <v>90</v>
      </c>
      <c r="D46" s="27">
        <v>20</v>
      </c>
      <c r="E46" s="56">
        <f>Pontuação!I54</f>
        <v>3.99</v>
      </c>
      <c r="G46" s="46"/>
      <c r="H46" s="46">
        <f>(E46/D46)*100</f>
        <v>19.950000000000003</v>
      </c>
      <c r="I46" s="19"/>
      <c r="J46" s="123"/>
      <c r="K46" s="123"/>
      <c r="L46" s="123"/>
    </row>
    <row r="47" spans="2:12" x14ac:dyDescent="0.2">
      <c r="B47" s="21"/>
      <c r="C47" s="19"/>
      <c r="D47" s="27"/>
      <c r="E47" s="56"/>
      <c r="G47" s="21"/>
      <c r="H47" s="21"/>
      <c r="I47" s="19"/>
      <c r="J47" s="123"/>
      <c r="K47" s="123"/>
      <c r="L47" s="123"/>
    </row>
    <row r="48" spans="2:12" x14ac:dyDescent="0.2">
      <c r="B48" s="21">
        <v>3</v>
      </c>
      <c r="C48" s="19" t="s">
        <v>91</v>
      </c>
      <c r="D48" s="27">
        <v>17</v>
      </c>
      <c r="E48" s="56">
        <f>Pontuação!I56</f>
        <v>0</v>
      </c>
      <c r="G48" s="46"/>
      <c r="H48" s="46">
        <f>(E48/D48)*100</f>
        <v>0</v>
      </c>
      <c r="I48" s="19"/>
      <c r="J48" s="123"/>
      <c r="K48" s="123"/>
      <c r="L48" s="123"/>
    </row>
    <row r="49" spans="2:9" x14ac:dyDescent="0.2">
      <c r="B49" s="21"/>
      <c r="C49" s="19"/>
      <c r="D49" s="27"/>
      <c r="E49" s="56"/>
      <c r="G49" s="21"/>
      <c r="H49" s="21"/>
      <c r="I49" s="19"/>
    </row>
    <row r="50" spans="2:9" x14ac:dyDescent="0.2">
      <c r="B50" s="21">
        <v>4</v>
      </c>
      <c r="C50" s="19" t="s">
        <v>92</v>
      </c>
      <c r="D50" s="27">
        <v>13</v>
      </c>
      <c r="E50" s="56">
        <f>Pontuação!I58</f>
        <v>7.98</v>
      </c>
      <c r="G50" s="46"/>
      <c r="H50" s="46">
        <f>(E50/D50)*100</f>
        <v>61.384615384615394</v>
      </c>
      <c r="I50" s="19"/>
    </row>
    <row r="51" spans="2:9" x14ac:dyDescent="0.2">
      <c r="B51" s="21"/>
      <c r="C51" s="19"/>
      <c r="D51" s="27"/>
      <c r="E51" s="56"/>
      <c r="G51" s="21"/>
      <c r="H51" s="21"/>
      <c r="I51" s="19"/>
    </row>
    <row r="52" spans="2:9" x14ac:dyDescent="0.2">
      <c r="B52" s="21">
        <v>5</v>
      </c>
      <c r="C52" s="19" t="s">
        <v>93</v>
      </c>
      <c r="D52" s="27">
        <v>13</v>
      </c>
      <c r="E52" s="56">
        <f>Pontuação!I60</f>
        <v>13.3</v>
      </c>
      <c r="G52" s="46"/>
      <c r="H52" s="46">
        <f>(E52/D52)*100</f>
        <v>102.30769230769232</v>
      </c>
      <c r="I52" s="19"/>
    </row>
    <row r="53" spans="2:9" x14ac:dyDescent="0.2">
      <c r="B53" s="21"/>
      <c r="C53" s="19"/>
      <c r="E53" s="56"/>
      <c r="G53" s="21"/>
      <c r="H53" s="21"/>
      <c r="I53" s="19"/>
    </row>
    <row r="54" spans="2:9" x14ac:dyDescent="0.2">
      <c r="B54" s="25">
        <v>6</v>
      </c>
      <c r="C54" s="24" t="s">
        <v>94</v>
      </c>
      <c r="D54" s="51">
        <v>8.7356321839080451</v>
      </c>
      <c r="E54" s="56">
        <f>Pontuação!I62</f>
        <v>8.5500000000000007</v>
      </c>
      <c r="F54" s="44"/>
      <c r="G54" s="48"/>
      <c r="H54" s="48">
        <f>(E54/D54)*100</f>
        <v>97.875000000000028</v>
      </c>
      <c r="I54" s="19"/>
    </row>
    <row r="56" spans="2:9" x14ac:dyDescent="0.2">
      <c r="B56" s="42"/>
      <c r="C56" s="42"/>
      <c r="D56" s="42"/>
      <c r="E56" s="42"/>
      <c r="F56" s="42"/>
      <c r="G56" s="42"/>
      <c r="H56" s="42"/>
      <c r="I56" s="19"/>
    </row>
    <row r="57" spans="2:9" x14ac:dyDescent="0.2">
      <c r="B57" s="22"/>
      <c r="C57" s="41" t="s">
        <v>50</v>
      </c>
      <c r="D57" s="23" t="s">
        <v>56</v>
      </c>
      <c r="E57" s="23" t="s">
        <v>56</v>
      </c>
      <c r="F57" s="22"/>
      <c r="G57" s="118" t="s">
        <v>112</v>
      </c>
      <c r="H57" s="118"/>
    </row>
    <row r="58" spans="2:9" x14ac:dyDescent="0.2">
      <c r="B58" s="19"/>
      <c r="C58" s="37" t="s">
        <v>117</v>
      </c>
      <c r="D58" s="21" t="s">
        <v>113</v>
      </c>
      <c r="E58" s="21" t="s">
        <v>113</v>
      </c>
      <c r="F58" s="21"/>
      <c r="G58" s="119" t="s">
        <v>114</v>
      </c>
      <c r="H58" s="119"/>
    </row>
    <row r="59" spans="2:9" x14ac:dyDescent="0.2">
      <c r="B59" s="19"/>
      <c r="C59" s="42"/>
      <c r="D59" s="21" t="s">
        <v>68</v>
      </c>
      <c r="E59" s="21" t="s">
        <v>59</v>
      </c>
      <c r="F59" s="21"/>
      <c r="G59" s="120" t="s">
        <v>115</v>
      </c>
      <c r="H59" s="120"/>
    </row>
    <row r="60" spans="2:9" x14ac:dyDescent="0.2">
      <c r="B60" s="24"/>
      <c r="C60" s="43"/>
      <c r="D60" s="44"/>
      <c r="E60" s="25"/>
      <c r="F60" s="25"/>
      <c r="G60" s="121" t="s">
        <v>116</v>
      </c>
      <c r="H60" s="121"/>
    </row>
    <row r="61" spans="2:9" x14ac:dyDescent="0.2">
      <c r="B61" s="27">
        <v>1</v>
      </c>
      <c r="C61" s="39" t="s">
        <v>98</v>
      </c>
      <c r="D61" s="45">
        <v>22</v>
      </c>
      <c r="E61" s="55">
        <f>Pontuação!I74</f>
        <v>13.26</v>
      </c>
      <c r="H61" s="46">
        <f>(E61/D61)*100</f>
        <v>60.272727272727266</v>
      </c>
    </row>
    <row r="62" spans="2:9" x14ac:dyDescent="0.2">
      <c r="B62" s="27"/>
      <c r="D62" s="45"/>
      <c r="E62" s="55"/>
    </row>
    <row r="63" spans="2:9" x14ac:dyDescent="0.2">
      <c r="B63" s="27">
        <v>2</v>
      </c>
      <c r="C63" s="39" t="s">
        <v>99</v>
      </c>
      <c r="D63" s="45">
        <v>20</v>
      </c>
      <c r="E63" s="55">
        <f>Pontuação!I76</f>
        <v>20.399999999999999</v>
      </c>
      <c r="H63" s="46">
        <f>(E63/D63)*100</f>
        <v>102</v>
      </c>
    </row>
    <row r="64" spans="2:9" x14ac:dyDescent="0.2">
      <c r="B64" s="27"/>
      <c r="D64" s="45"/>
      <c r="E64" s="55"/>
    </row>
    <row r="65" spans="2:13" x14ac:dyDescent="0.2">
      <c r="B65" s="27">
        <v>3</v>
      </c>
      <c r="C65" s="39" t="s">
        <v>100</v>
      </c>
      <c r="D65" s="45">
        <v>19</v>
      </c>
      <c r="E65" s="55">
        <f>Pontuação!I78</f>
        <v>11.22</v>
      </c>
      <c r="H65" s="46">
        <f>(E65/D65)*100</f>
        <v>59.05263157894737</v>
      </c>
    </row>
    <row r="66" spans="2:13" x14ac:dyDescent="0.2">
      <c r="B66" s="27"/>
      <c r="D66" s="45"/>
      <c r="E66" s="55"/>
    </row>
    <row r="67" spans="2:13" x14ac:dyDescent="0.2">
      <c r="B67" s="27">
        <v>4</v>
      </c>
      <c r="C67" s="39" t="s">
        <v>101</v>
      </c>
      <c r="D67" s="45">
        <v>14</v>
      </c>
      <c r="E67" s="55">
        <f>Pontuação!I80</f>
        <v>14.45</v>
      </c>
      <c r="H67" s="46">
        <f>(E67/D67)*100</f>
        <v>103.21428571428571</v>
      </c>
    </row>
    <row r="68" spans="2:13" x14ac:dyDescent="0.2">
      <c r="B68" s="27"/>
      <c r="D68" s="45"/>
      <c r="E68" s="55"/>
    </row>
    <row r="69" spans="2:13" x14ac:dyDescent="0.2">
      <c r="B69" s="27">
        <v>5</v>
      </c>
      <c r="C69" s="39" t="s">
        <v>102</v>
      </c>
      <c r="D69" s="45">
        <v>2</v>
      </c>
      <c r="E69" s="55">
        <f>Pontuação!I82</f>
        <v>1.02</v>
      </c>
      <c r="H69" s="46">
        <f>(E69/D69)*100</f>
        <v>51</v>
      </c>
    </row>
    <row r="70" spans="2:13" x14ac:dyDescent="0.2">
      <c r="B70" s="27"/>
      <c r="D70" s="45"/>
      <c r="E70" s="55"/>
    </row>
    <row r="71" spans="2:13" x14ac:dyDescent="0.2">
      <c r="B71" s="51">
        <v>6</v>
      </c>
      <c r="C71" s="44" t="s">
        <v>103</v>
      </c>
      <c r="D71" s="47">
        <v>8</v>
      </c>
      <c r="E71" s="55">
        <f>Pontuação!I84</f>
        <v>7.65</v>
      </c>
      <c r="F71" s="44"/>
      <c r="G71" s="44"/>
      <c r="H71" s="48">
        <f>(E71/D71)*100</f>
        <v>95.625</v>
      </c>
    </row>
    <row r="72" spans="2:13" x14ac:dyDescent="0.2">
      <c r="B72" s="19"/>
      <c r="C72" s="19"/>
    </row>
    <row r="73" spans="2:13" ht="19" x14ac:dyDescent="0.25">
      <c r="B73" s="124" t="s">
        <v>118</v>
      </c>
      <c r="C73" s="124"/>
      <c r="D73" s="124"/>
      <c r="E73" s="124"/>
      <c r="F73" s="124"/>
      <c r="G73" s="124"/>
      <c r="H73" s="124"/>
      <c r="I73" s="52"/>
      <c r="J73" s="52"/>
      <c r="K73" s="52"/>
      <c r="L73" s="52"/>
      <c r="M73" s="52"/>
    </row>
    <row r="74" spans="2:13" ht="30" customHeight="1" x14ac:dyDescent="0.2">
      <c r="B74" s="125" t="s">
        <v>119</v>
      </c>
      <c r="C74" s="125"/>
      <c r="D74" s="125"/>
      <c r="E74" s="125"/>
      <c r="F74" s="125"/>
      <c r="G74" s="125"/>
      <c r="H74" s="125"/>
    </row>
  </sheetData>
  <mergeCells count="25">
    <mergeCell ref="B74:H74"/>
    <mergeCell ref="J47:L47"/>
    <mergeCell ref="J48:L48"/>
    <mergeCell ref="G57:H57"/>
    <mergeCell ref="G58:H58"/>
    <mergeCell ref="J45:L45"/>
    <mergeCell ref="J46:L46"/>
    <mergeCell ref="G59:H59"/>
    <mergeCell ref="G60:H60"/>
    <mergeCell ref="B73:H73"/>
    <mergeCell ref="G42:H42"/>
    <mergeCell ref="J42:L42"/>
    <mergeCell ref="G43:H43"/>
    <mergeCell ref="J43:L43"/>
    <mergeCell ref="J44:L44"/>
    <mergeCell ref="G24:H24"/>
    <mergeCell ref="G25:H25"/>
    <mergeCell ref="G26:H26"/>
    <mergeCell ref="G40:H40"/>
    <mergeCell ref="G41:H41"/>
    <mergeCell ref="G6:H6"/>
    <mergeCell ref="G7:H7"/>
    <mergeCell ref="G8:H8"/>
    <mergeCell ref="G9:H9"/>
    <mergeCell ref="G23:H23"/>
  </mergeCells>
  <pageMargins left="0.96" right="0.51181102362204722" top="0.78740157480314965" bottom="0.78740157480314965" header="0.31496062992125984" footer="0.31496062992125984"/>
  <pageSetup scale="64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>
      <selection activeCell="G81" sqref="G81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Método de Mensuração SGP</vt:lpstr>
      <vt:lpstr>% de sucesso</vt:lpstr>
      <vt:lpstr>Pontuação</vt:lpstr>
      <vt:lpstr>% por variável</vt:lpstr>
      <vt:lpstr>Matriz</vt:lpstr>
      <vt:lpstr>'% por variável'!Zone_d_impression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</dc:creator>
  <cp:lastModifiedBy>Microsoft Office User</cp:lastModifiedBy>
  <cp:lastPrinted>2013-06-18T12:26:31Z</cp:lastPrinted>
  <dcterms:created xsi:type="dcterms:W3CDTF">2013-01-21T19:51:56Z</dcterms:created>
  <dcterms:modified xsi:type="dcterms:W3CDTF">2024-10-15T17:40:25Z</dcterms:modified>
</cp:coreProperties>
</file>