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ebou/Desktop/"/>
    </mc:Choice>
  </mc:AlternateContent>
  <xr:revisionPtr revIDLastSave="0" documentId="13_ncr:1_{2CF66F70-6701-A549-93D0-1AB90ADA34F6}" xr6:coauthVersionLast="47" xr6:coauthVersionMax="47" xr10:uidLastSave="{00000000-0000-0000-0000-000000000000}"/>
  <bookViews>
    <workbookView xWindow="0" yWindow="500" windowWidth="28800" windowHeight="16400" xr2:uid="{2DBC9EE2-A21F-E741-83E0-CB6413346F09}"/>
  </bookViews>
  <sheets>
    <sheet name="Officiel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4" l="1"/>
  <c r="G7" i="4" l="1"/>
  <c r="G8" i="4" s="1"/>
  <c r="G9" i="4" s="1"/>
  <c r="G10" i="4" s="1"/>
  <c r="G11" i="4" s="1"/>
  <c r="E7" i="4"/>
  <c r="F7" i="4" s="1"/>
  <c r="F8" i="4" s="1"/>
  <c r="E8" i="4"/>
  <c r="E9" i="4"/>
  <c r="E10" i="4"/>
  <c r="E11" i="4"/>
  <c r="B2" i="4"/>
  <c r="L7" i="4"/>
  <c r="L8" i="4" s="1"/>
  <c r="L9" i="4" s="1"/>
  <c r="L10" i="4" s="1"/>
  <c r="L11" i="4" s="1"/>
  <c r="K7" i="4"/>
  <c r="K8" i="4" s="1"/>
  <c r="K9" i="4" s="1"/>
  <c r="K10" i="4" s="1"/>
  <c r="K11" i="4" s="1"/>
  <c r="I11" i="4"/>
  <c r="I10" i="4"/>
  <c r="I9" i="4"/>
  <c r="I8" i="4"/>
  <c r="A8" i="4"/>
  <c r="A9" i="4" s="1"/>
  <c r="A10" i="4" s="1"/>
  <c r="A11" i="4" s="1"/>
  <c r="I7" i="4"/>
  <c r="F9" i="4" l="1"/>
  <c r="F10" i="4" s="1"/>
  <c r="F11" i="4" s="1"/>
  <c r="H11" i="4" s="1"/>
  <c r="H8" i="4"/>
  <c r="H7" i="4"/>
  <c r="H9" i="4" l="1"/>
  <c r="H10" i="4"/>
  <c r="J7" i="4"/>
  <c r="J8" i="4" s="1"/>
  <c r="J9" i="4" l="1"/>
  <c r="J10" i="4" s="1"/>
  <c r="J11" i="4" s="1"/>
</calcChain>
</file>

<file path=xl/sharedStrings.xml><?xml version="1.0" encoding="utf-8"?>
<sst xmlns="http://schemas.openxmlformats.org/spreadsheetml/2006/main" count="22" uniqueCount="21">
  <si>
    <t>Estimated Time (day)</t>
  </si>
  <si>
    <t>Real time (day)</t>
  </si>
  <si>
    <t>Plan</t>
  </si>
  <si>
    <t>Creation of website</t>
  </si>
  <si>
    <t>Creation of database</t>
  </si>
  <si>
    <t>Presentation of project</t>
  </si>
  <si>
    <t>Buffer time estimate :</t>
  </si>
  <si>
    <t>% Advancement</t>
  </si>
  <si>
    <t>N°Task</t>
  </si>
  <si>
    <t>Task Name</t>
  </si>
  <si>
    <t>Early time</t>
  </si>
  <si>
    <t>Buffer time used</t>
  </si>
  <si>
    <t>Cumulate time estimated</t>
  </si>
  <si>
    <t>Cumulate real time</t>
  </si>
  <si>
    <t>N°Project :</t>
  </si>
  <si>
    <t>Project time :</t>
  </si>
  <si>
    <t>You have to put the buffer time you have from the gantt</t>
  </si>
  <si>
    <t>% buffer time used</t>
  </si>
  <si>
    <t>% Advancement real</t>
  </si>
  <si>
    <t>Buffer time cumuled</t>
  </si>
  <si>
    <t>Number of Tasks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</si>
</sst>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9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wrapText="1"/>
    </xf>
    <xf numFmtId="0" fontId="6" fillId="0" borderId="2" xfId="0" applyFont="1" applyBorder="1" applyAlignment="1">
      <alignment horizontal="left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left"/>
    </xf>
    <xf numFmtId="0" fontId="6" fillId="0" borderId="7" xfId="0" applyFont="1" applyBorder="1" applyAlignment="1">
      <alignment horizontal="center" vertical="center"/>
    </xf>
    <xf numFmtId="0" fontId="3" fillId="0" borderId="0" xfId="0" applyFont="1"/>
    <xf numFmtId="0" fontId="7" fillId="0" borderId="0" xfId="0" applyFon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49" fontId="0" fillId="0" borderId="0" xfId="0" applyNumberFormat="1"/>
    <xf numFmtId="0" fontId="4" fillId="0" borderId="4" xfId="0" applyFont="1" applyBorder="1" applyAlignment="1">
      <alignment horizontal="left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wrapText="1"/>
      <protection hidden="1"/>
    </xf>
    <xf numFmtId="0" fontId="0" fillId="0" borderId="11" xfId="0" applyBorder="1" applyAlignment="1" applyProtection="1">
      <alignment horizontal="center" vertical="center" wrapText="1"/>
      <protection hidden="1"/>
    </xf>
    <xf numFmtId="9" fontId="0" fillId="0" borderId="11" xfId="1" applyFont="1" applyBorder="1" applyAlignment="1" applyProtection="1">
      <alignment horizontal="center" vertical="center" wrapText="1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9" fontId="7" fillId="0" borderId="1" xfId="1" applyFont="1" applyBorder="1" applyAlignment="1" applyProtection="1">
      <alignment horizontal="center" vertical="center"/>
      <protection hidden="1"/>
    </xf>
    <xf numFmtId="9" fontId="3" fillId="0" borderId="1" xfId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9" fontId="0" fillId="0" borderId="1" xfId="1" applyFont="1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9" fontId="7" fillId="0" borderId="14" xfId="1" applyFont="1" applyBorder="1" applyAlignment="1" applyProtection="1">
      <alignment horizontal="center" vertical="center"/>
      <protection hidden="1"/>
    </xf>
    <xf numFmtId="9" fontId="3" fillId="0" borderId="14" xfId="1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9" fontId="0" fillId="0" borderId="14" xfId="1" applyFont="1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6" fillId="0" borderId="5" xfId="0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Pourcentage" xfId="1" builtinId="5"/>
  </cellStyles>
  <dxfs count="16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comparison between estimated and actual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Officiel!$K$6</c:f>
              <c:strCache>
                <c:ptCount val="1"/>
                <c:pt idx="0">
                  <c:v>Cumulate time estimated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Officiel!$J$7:$J$12</c:f>
              <c:numCache>
                <c:formatCode>0%</c:formatCode>
                <c:ptCount val="6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</c:numCache>
            </c:numRef>
          </c:cat>
          <c:val>
            <c:numRef>
              <c:f>Officiel!$K$7:$K$12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B-8645-9A0B-12C96C28F336}"/>
            </c:ext>
          </c:extLst>
        </c:ser>
        <c:ser>
          <c:idx val="1"/>
          <c:order val="1"/>
          <c:tx>
            <c:strRef>
              <c:f>Officiel!$L$6</c:f>
              <c:strCache>
                <c:ptCount val="1"/>
                <c:pt idx="0">
                  <c:v>Cumulate real 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Officiel!$J$7:$J$12</c:f>
              <c:numCache>
                <c:formatCode>0%</c:formatCode>
                <c:ptCount val="6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</c:numCache>
            </c:numRef>
          </c:cat>
          <c:val>
            <c:numRef>
              <c:f>Officiel!$L$7:$L$12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B-8645-9A0B-12C96C28F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643088"/>
        <c:axId val="222130768"/>
      </c:lineChart>
      <c:catAx>
        <c:axId val="2216430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2130768"/>
        <c:crosses val="autoZero"/>
        <c:auto val="1"/>
        <c:lblAlgn val="ctr"/>
        <c:lblOffset val="100"/>
        <c:noMultiLvlLbl val="0"/>
      </c:catAx>
      <c:valAx>
        <c:axId val="22213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64308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Officiel!$H$6</c:f>
              <c:strCache>
                <c:ptCount val="1"/>
                <c:pt idx="0">
                  <c:v>% buffer time used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Officiel!$G$7:$G$12</c:f>
              <c:numCache>
                <c:formatCode>0%</c:formatCode>
                <c:ptCount val="6"/>
                <c:pt idx="0">
                  <c:v>0.21428571428571427</c:v>
                </c:pt>
                <c:pt idx="1">
                  <c:v>0.2857142857142857</c:v>
                </c:pt>
                <c:pt idx="2">
                  <c:v>0.5</c:v>
                </c:pt>
                <c:pt idx="3">
                  <c:v>0.7142857142857143</c:v>
                </c:pt>
                <c:pt idx="4">
                  <c:v>1</c:v>
                </c:pt>
              </c:numCache>
            </c:numRef>
          </c:xVal>
          <c:yVal>
            <c:numRef>
              <c:f>Officiel!$H$7:$H$12</c:f>
              <c:numCache>
                <c:formatCode>0%</c:formatCode>
                <c:ptCount val="6"/>
                <c:pt idx="0">
                  <c:v>0.125</c:v>
                </c:pt>
                <c:pt idx="1">
                  <c:v>-0.125</c:v>
                </c:pt>
                <c:pt idx="2">
                  <c:v>0</c:v>
                </c:pt>
                <c:pt idx="3">
                  <c:v>0.25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26-BD47-BB0F-E08F3178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483216"/>
        <c:axId val="398918432"/>
      </c:scatterChart>
      <c:valAx>
        <c:axId val="8644832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%</a:t>
                </a:r>
                <a:r>
                  <a:rPr lang="fr-FR" baseline="0"/>
                  <a:t> project progress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8918432"/>
        <c:crosses val="autoZero"/>
        <c:crossBetween val="midCat"/>
      </c:valAx>
      <c:valAx>
        <c:axId val="3989184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% Buffertime used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6448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1010478</xdr:colOff>
      <xdr:row>5</xdr:row>
      <xdr:rowOff>491987</xdr:rowOff>
    </xdr:from>
    <xdr:to>
      <xdr:col>24</xdr:col>
      <xdr:colOff>604077</xdr:colOff>
      <xdr:row>9</xdr:row>
      <xdr:rowOff>289891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AF02F796-A0EE-7545-96FD-55BDA0AB3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17878" y="1952487"/>
          <a:ext cx="4965700" cy="2337904"/>
        </a:xfrm>
        <a:prstGeom prst="rect">
          <a:avLst/>
        </a:prstGeom>
      </xdr:spPr>
    </xdr:pic>
    <xdr:clientData/>
  </xdr:twoCellAnchor>
  <xdr:twoCellAnchor>
    <xdr:from>
      <xdr:col>12</xdr:col>
      <xdr:colOff>452780</xdr:colOff>
      <xdr:row>5</xdr:row>
      <xdr:rowOff>375478</xdr:rowOff>
    </xdr:from>
    <xdr:to>
      <xdr:col>18</xdr:col>
      <xdr:colOff>541128</xdr:colOff>
      <xdr:row>9</xdr:row>
      <xdr:rowOff>570947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370636F-F110-9E74-AE0D-B5AFF8098D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451127</xdr:colOff>
      <xdr:row>10</xdr:row>
      <xdr:rowOff>5520</xdr:rowOff>
    </xdr:from>
    <xdr:to>
      <xdr:col>18</xdr:col>
      <xdr:colOff>369403</xdr:colOff>
      <xdr:row>14</xdr:row>
      <xdr:rowOff>294860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DCEC2D60-6F96-1B98-C347-79B55E7B7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1153920</xdr:colOff>
      <xdr:row>11</xdr:row>
      <xdr:rowOff>527633</xdr:rowOff>
    </xdr:from>
    <xdr:to>
      <xdr:col>18</xdr:col>
      <xdr:colOff>110434</xdr:colOff>
      <xdr:row>12</xdr:row>
      <xdr:rowOff>561131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615A5047-DBC4-691F-FEE1-22EE12DD80D3}"/>
            </a:ext>
          </a:extLst>
        </xdr:cNvPr>
        <xdr:cNvCxnSpPr/>
      </xdr:nvCxnSpPr>
      <xdr:spPr>
        <a:xfrm flipV="1">
          <a:off x="16571843" y="5810097"/>
          <a:ext cx="4656176" cy="671565"/>
        </a:xfrm>
        <a:prstGeom prst="line">
          <a:avLst/>
        </a:prstGeom>
        <a:ln w="28575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1168400</xdr:colOff>
      <xdr:row>11</xdr:row>
      <xdr:rowOff>177922</xdr:rowOff>
    </xdr:from>
    <xdr:to>
      <xdr:col>18</xdr:col>
      <xdr:colOff>110434</xdr:colOff>
      <xdr:row>12</xdr:row>
      <xdr:rowOff>50800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BED5703D-F7B4-7345-9474-32F50579DB91}"/>
            </a:ext>
          </a:extLst>
        </xdr:cNvPr>
        <xdr:cNvCxnSpPr/>
      </xdr:nvCxnSpPr>
      <xdr:spPr>
        <a:xfrm flipV="1">
          <a:off x="16586323" y="5460386"/>
          <a:ext cx="4641696" cy="510945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99E5E-3904-B343-9940-F4603B2503BD}" name="Tableau1" displayName="Tableau1" ref="A6:L11" totalsRowShown="0" headerRowDxfId="15" headerRowBorderDxfId="13" tableBorderDxfId="14" totalsRowBorderDxfId="12">
  <autoFilter ref="A6:L11" xr:uid="{9E799E5E-3904-B343-9940-F4603B2503BD}"/>
  <tableColumns count="12">
    <tableColumn id="1" xr3:uid="{E94BCB75-91EB-4D46-A9A2-180E309096A8}" name="N°Task" dataDxfId="11">
      <calculatedColumnFormula>A6+1</calculatedColumnFormula>
    </tableColumn>
    <tableColumn id="2" xr3:uid="{716CDD85-754D-964E-87B8-6FF407EC27EE}" name="Task Name" dataDxfId="10"/>
    <tableColumn id="3" xr3:uid="{093C5E43-8F59-E84F-B902-A09A6D91180F}" name="Estimated Time (day)" dataDxfId="9"/>
    <tableColumn id="4" xr3:uid="{5E72C78C-28A5-F140-ADFE-B729B773DAAF}" name="Real time (day)" dataDxfId="8"/>
    <tableColumn id="10" xr3:uid="{8CF8E232-6340-1840-82E6-B00D5944ECC5}" name="Buffer time used" dataDxfId="7">
      <calculatedColumnFormula>IF(ISBLANK(D7),"",(IF(C7&lt;D7,D7-C7,D7-C7)))</calculatedColumnFormula>
    </tableColumn>
    <tableColumn id="5" xr3:uid="{16FC10B5-66E9-F442-AAA8-23C2B4B2F638}" name="Buffer time cumuled" dataDxfId="6">
      <calculatedColumnFormula>IFERROR(E7+F6,E7)</calculatedColumnFormula>
    </tableColumn>
    <tableColumn id="14" xr3:uid="{956CD4CF-0E63-704B-B14E-2F554947C468}" name="% Advancement real" dataDxfId="5" dataCellStyle="Pourcentage">
      <calculatedColumnFormula>IFERROR(Tableau1[[#This Row],[Real time (day)]]/SUM(Tableau1[Real time (day)])+G6,Tableau1[[#This Row],[Real time (day)]]/SUM(Tableau1[Real time (day)]))</calculatedColumnFormula>
    </tableColumn>
    <tableColumn id="11" xr3:uid="{F87C565E-B305-CF4F-ACC8-D4F70C76082C}" name="% buffer time used" dataDxfId="4" dataCellStyle="Pourcentage">
      <calculatedColumnFormula>Tableau1[[#This Row],[Buffer time cumuled]]/$B$3</calculatedColumnFormula>
    </tableColumn>
    <tableColumn id="6" xr3:uid="{494C78A5-C26C-9F46-8D34-AB656920045D}" name="Early time" dataDxfId="3">
      <calculatedColumnFormula>IF(ISBLANK(D7),"",(IF(C7&gt;D7,C7-D7,"")))</calculatedColumnFormula>
    </tableColumn>
    <tableColumn id="7" xr3:uid="{488FE0A2-C46A-4145-98B9-EB73C2FB7756}" name="% Advancement" dataDxfId="2" dataCellStyle="Pourcentage">
      <calculatedColumnFormula>IF(ISBLANK(C7),"",J6+1/$B$4)</calculatedColumnFormula>
    </tableColumn>
    <tableColumn id="8" xr3:uid="{CBCF71FF-1D39-2C43-AC93-9D2B5863E192}" name="Cumulate time estimated" dataDxfId="1">
      <calculatedColumnFormula>C7+K6</calculatedColumnFormula>
    </tableColumn>
    <tableColumn id="9" xr3:uid="{951A036C-006B-7548-B5D5-E035575D54C8}" name="Cumulate real time" dataDxfId="0">
      <calculatedColumnFormula>D7+L6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F8F3B-033D-BD45-9AF1-151BFE93A08C}">
  <sheetPr codeName="Feuil4"/>
  <dimension ref="A1:P100"/>
  <sheetViews>
    <sheetView tabSelected="1" topLeftCell="A2" zoomScale="112" zoomScaleNormal="100" workbookViewId="0">
      <selection activeCell="B7" sqref="B7"/>
    </sheetView>
  </sheetViews>
  <sheetFormatPr baseColWidth="10" defaultRowHeight="16" x14ac:dyDescent="0.2"/>
  <cols>
    <col min="1" max="1" width="23.33203125" bestFit="1" customWidth="1"/>
    <col min="2" max="2" width="12.33203125" style="21" customWidth="1"/>
    <col min="3" max="3" width="20.83203125" style="21" customWidth="1"/>
    <col min="4" max="4" width="15.6640625" style="21" customWidth="1"/>
    <col min="5" max="5" width="15.6640625" style="22" customWidth="1"/>
    <col min="6" max="7" width="17.1640625" style="22" customWidth="1"/>
    <col min="8" max="9" width="11.5" style="22" customWidth="1"/>
    <col min="10" max="11" width="16.83203125" style="22" customWidth="1"/>
    <col min="12" max="12" width="24.33203125" style="22" customWidth="1"/>
    <col min="13" max="13" width="19" customWidth="1"/>
    <col min="18" max="18" width="12.33203125" customWidth="1"/>
    <col min="19" max="19" width="13.33203125" customWidth="1"/>
    <col min="20" max="20" width="13.83203125" bestFit="1" customWidth="1"/>
  </cols>
  <sheetData>
    <row r="1" spans="1:16" ht="19" x14ac:dyDescent="0.25">
      <c r="A1" s="2" t="s">
        <v>14</v>
      </c>
      <c r="B1" s="3">
        <v>1</v>
      </c>
      <c r="C1"/>
      <c r="D1"/>
      <c r="H1" s="23"/>
      <c r="I1" s="23"/>
    </row>
    <row r="2" spans="1:16" ht="19" x14ac:dyDescent="0.25">
      <c r="A2" s="4" t="s">
        <v>15</v>
      </c>
      <c r="B2" s="5">
        <f>SUM(C7:C86)</f>
        <v>10</v>
      </c>
      <c r="C2"/>
      <c r="D2" s="1"/>
      <c r="E2" s="24"/>
      <c r="F2" s="23"/>
      <c r="G2" s="23"/>
      <c r="H2" s="23"/>
      <c r="I2" s="23"/>
    </row>
    <row r="3" spans="1:16" ht="20" x14ac:dyDescent="0.25">
      <c r="A3" s="16" t="s">
        <v>6</v>
      </c>
      <c r="B3" s="42">
        <v>8</v>
      </c>
      <c r="C3" t="s">
        <v>16</v>
      </c>
      <c r="D3"/>
      <c r="P3" s="15"/>
    </row>
    <row r="4" spans="1:16" ht="20" thickBot="1" x14ac:dyDescent="0.3">
      <c r="A4" s="6" t="s">
        <v>20</v>
      </c>
      <c r="B4" s="7">
        <f>COUNT(A6:A11)</f>
        <v>5</v>
      </c>
      <c r="C4"/>
      <c r="D4"/>
      <c r="P4" s="15"/>
    </row>
    <row r="5" spans="1:16" ht="37" customHeight="1" x14ac:dyDescent="0.2">
      <c r="B5"/>
      <c r="C5"/>
      <c r="D5"/>
    </row>
    <row r="6" spans="1:16" ht="50" customHeight="1" x14ac:dyDescent="0.2">
      <c r="A6" s="11" t="s">
        <v>8</v>
      </c>
      <c r="B6" s="12" t="s">
        <v>9</v>
      </c>
      <c r="C6" s="13" t="s">
        <v>0</v>
      </c>
      <c r="D6" s="13" t="s">
        <v>1</v>
      </c>
      <c r="E6" s="25" t="s">
        <v>11</v>
      </c>
      <c r="F6" s="25" t="s">
        <v>19</v>
      </c>
      <c r="G6" s="26" t="s">
        <v>18</v>
      </c>
      <c r="H6" s="26" t="s">
        <v>17</v>
      </c>
      <c r="I6" s="25" t="s">
        <v>10</v>
      </c>
      <c r="J6" s="25" t="s">
        <v>7</v>
      </c>
      <c r="K6" s="25" t="s">
        <v>12</v>
      </c>
      <c r="L6" s="27" t="s">
        <v>13</v>
      </c>
    </row>
    <row r="7" spans="1:16" ht="50" customHeight="1" x14ac:dyDescent="0.2">
      <c r="A7" s="10">
        <v>1</v>
      </c>
      <c r="B7" s="17" t="s">
        <v>2</v>
      </c>
      <c r="C7" s="17">
        <v>2</v>
      </c>
      <c r="D7" s="17">
        <v>3</v>
      </c>
      <c r="E7" s="28">
        <f t="shared" ref="E7:E11" si="0">IF(ISBLANK(D7),"",(IF(C7&lt;D7,D7-C7,D7-C7)))</f>
        <v>1</v>
      </c>
      <c r="F7" s="29">
        <f t="shared" ref="F7:F11" si="1">IFERROR(E7+F6,E7)</f>
        <v>1</v>
      </c>
      <c r="G7" s="30">
        <f>IFERROR(Tableau1[[#This Row],[Real time (day)]]/SUM(Tableau1[Real time (day)])+G6,Tableau1[[#This Row],[Real time (day)]]/SUM(Tableau1[Real time (day)]))</f>
        <v>0.21428571428571427</v>
      </c>
      <c r="H7" s="31">
        <f>Tableau1[[#This Row],[Buffer time cumuled]]/$B$3</f>
        <v>0.125</v>
      </c>
      <c r="I7" s="32" t="str">
        <f>IF(ISBLANK(D7),"",(IF(C7&gt;D7,C7-D7,"")))</f>
        <v/>
      </c>
      <c r="J7" s="33">
        <f>IF(ISBLANK(C7),"",1/B4)</f>
        <v>0.2</v>
      </c>
      <c r="K7" s="28">
        <f>C7</f>
        <v>2</v>
      </c>
      <c r="L7" s="34">
        <f>D7</f>
        <v>3</v>
      </c>
    </row>
    <row r="8" spans="1:16" ht="50" customHeight="1" x14ac:dyDescent="0.2">
      <c r="A8" s="10">
        <f>A7+1</f>
        <v>2</v>
      </c>
      <c r="B8" s="18" t="s">
        <v>3</v>
      </c>
      <c r="C8" s="17">
        <v>3</v>
      </c>
      <c r="D8" s="17">
        <v>1</v>
      </c>
      <c r="E8" s="28">
        <f t="shared" si="0"/>
        <v>-2</v>
      </c>
      <c r="F8" s="29">
        <f t="shared" si="1"/>
        <v>-1</v>
      </c>
      <c r="G8" s="30">
        <f>IFERROR(Tableau1[[#This Row],[Real time (day)]]/SUM(Tableau1[Real time (day)])+G7,Tableau1[[#This Row],[Real time (day)]]/SUM(Tableau1[Real time (day)]))</f>
        <v>0.2857142857142857</v>
      </c>
      <c r="H8" s="31">
        <f>Tableau1[[#This Row],[Buffer time cumuled]]/$B$3</f>
        <v>-0.125</v>
      </c>
      <c r="I8" s="32">
        <f>IF(ISBLANK(D8),"",(IF(C8&gt;D8,C8-D8,"")))</f>
        <v>2</v>
      </c>
      <c r="J8" s="33">
        <f>IF(ISBLANK(C8),"",J7+1/$B$4)</f>
        <v>0.4</v>
      </c>
      <c r="K8" s="28">
        <f>C8+K7</f>
        <v>5</v>
      </c>
      <c r="L8" s="34">
        <f>D8+L7</f>
        <v>4</v>
      </c>
    </row>
    <row r="9" spans="1:16" ht="50" customHeight="1" x14ac:dyDescent="0.2">
      <c r="A9" s="10">
        <f>A8+1</f>
        <v>3</v>
      </c>
      <c r="B9" s="18" t="s">
        <v>4</v>
      </c>
      <c r="C9" s="17">
        <v>2</v>
      </c>
      <c r="D9" s="17">
        <v>3</v>
      </c>
      <c r="E9" s="28">
        <f t="shared" si="0"/>
        <v>1</v>
      </c>
      <c r="F9" s="29">
        <f t="shared" si="1"/>
        <v>0</v>
      </c>
      <c r="G9" s="30">
        <f>IFERROR(Tableau1[[#This Row],[Real time (day)]]/SUM(Tableau1[Real time (day)])+G8,Tableau1[[#This Row],[Real time (day)]]/SUM(Tableau1[Real time (day)]))</f>
        <v>0.5</v>
      </c>
      <c r="H9" s="31">
        <f>Tableau1[[#This Row],[Buffer time cumuled]]/$B$3</f>
        <v>0</v>
      </c>
      <c r="I9" s="32" t="str">
        <f>IF(ISBLANK(D9),"",(IF(C9&gt;D9,C9-D9,"")))</f>
        <v/>
      </c>
      <c r="J9" s="33">
        <f>IF(ISBLANK(C9),"",J8+1/$B$4)</f>
        <v>0.60000000000000009</v>
      </c>
      <c r="K9" s="28">
        <f>C9+K8</f>
        <v>7</v>
      </c>
      <c r="L9" s="34">
        <f>D9+L8</f>
        <v>7</v>
      </c>
    </row>
    <row r="10" spans="1:16" s="8" customFormat="1" ht="50" customHeight="1" x14ac:dyDescent="0.2">
      <c r="A10" s="10">
        <f>A9+1</f>
        <v>4</v>
      </c>
      <c r="B10" s="18" t="s">
        <v>5</v>
      </c>
      <c r="C10" s="17">
        <v>1</v>
      </c>
      <c r="D10" s="17">
        <v>3</v>
      </c>
      <c r="E10" s="28">
        <f t="shared" si="0"/>
        <v>2</v>
      </c>
      <c r="F10" s="29">
        <f t="shared" si="1"/>
        <v>2</v>
      </c>
      <c r="G10" s="30">
        <f>IFERROR(Tableau1[[#This Row],[Real time (day)]]/SUM(Tableau1[Real time (day)])+G9,Tableau1[[#This Row],[Real time (day)]]/SUM(Tableau1[Real time (day)]))</f>
        <v>0.7142857142857143</v>
      </c>
      <c r="H10" s="31">
        <f>Tableau1[[#This Row],[Buffer time cumuled]]/$B$3</f>
        <v>0.25</v>
      </c>
      <c r="I10" s="32" t="str">
        <f>IF(ISBLANK(D10),"",(IF(C10&gt;D10,C10-D10,"")))</f>
        <v/>
      </c>
      <c r="J10" s="33">
        <f>IF(ISBLANK(C10),"",J9+1/$B$4)</f>
        <v>0.8</v>
      </c>
      <c r="K10" s="28">
        <f>C10+K9</f>
        <v>8</v>
      </c>
      <c r="L10" s="34">
        <f>D10+L9</f>
        <v>10</v>
      </c>
    </row>
    <row r="11" spans="1:16" s="9" customFormat="1" ht="50" customHeight="1" x14ac:dyDescent="0.2">
      <c r="A11" s="14">
        <f>A10+1</f>
        <v>5</v>
      </c>
      <c r="B11" s="19" t="s">
        <v>5</v>
      </c>
      <c r="C11" s="20">
        <v>2</v>
      </c>
      <c r="D11" s="20">
        <v>4</v>
      </c>
      <c r="E11" s="35">
        <f t="shared" si="0"/>
        <v>2</v>
      </c>
      <c r="F11" s="36">
        <f t="shared" si="1"/>
        <v>4</v>
      </c>
      <c r="G11" s="37">
        <f>IFERROR(Tableau1[[#This Row],[Real time (day)]]/SUM(Tableau1[Real time (day)])+G10,Tableau1[[#This Row],[Real time (day)]]/SUM(Tableau1[Real time (day)]))</f>
        <v>1</v>
      </c>
      <c r="H11" s="38">
        <f>Tableau1[[#This Row],[Buffer time cumuled]]/$B$3</f>
        <v>0.5</v>
      </c>
      <c r="I11" s="39" t="str">
        <f>IF(ISBLANK(D11),"",(IF(C11&gt;D11,C11-D11,"")))</f>
        <v/>
      </c>
      <c r="J11" s="40">
        <f>IF(ISBLANK(C11),"",J10+1/$B$4)</f>
        <v>1</v>
      </c>
      <c r="K11" s="35">
        <f>C11+K10</f>
        <v>10</v>
      </c>
      <c r="L11" s="41">
        <f>D11+L10</f>
        <v>14</v>
      </c>
    </row>
    <row r="12" spans="1:16" ht="50" customHeight="1" x14ac:dyDescent="0.2"/>
    <row r="13" spans="1:16" ht="50" customHeight="1" x14ac:dyDescent="0.2"/>
    <row r="14" spans="1:16" ht="50" customHeight="1" x14ac:dyDescent="0.2"/>
    <row r="15" spans="1:16" ht="50" customHeight="1" x14ac:dyDescent="0.2"/>
    <row r="16" spans="1:16" ht="50" customHeight="1" x14ac:dyDescent="0.2"/>
    <row r="17" ht="50" customHeight="1" x14ac:dyDescent="0.2"/>
    <row r="18" ht="50" customHeight="1" x14ac:dyDescent="0.2"/>
    <row r="19" ht="50" customHeight="1" x14ac:dyDescent="0.2"/>
    <row r="20" ht="50" customHeight="1" x14ac:dyDescent="0.2"/>
    <row r="21" ht="50" customHeight="1" x14ac:dyDescent="0.2"/>
    <row r="22" ht="50" customHeight="1" x14ac:dyDescent="0.2"/>
    <row r="23" ht="50" customHeight="1" x14ac:dyDescent="0.2"/>
    <row r="24" ht="50" customHeight="1" x14ac:dyDescent="0.2"/>
    <row r="25" ht="50" customHeight="1" x14ac:dyDescent="0.2"/>
    <row r="26" ht="50" customHeight="1" x14ac:dyDescent="0.2"/>
    <row r="27" ht="50" customHeight="1" x14ac:dyDescent="0.2"/>
    <row r="28" ht="50" customHeight="1" x14ac:dyDescent="0.2"/>
    <row r="29" ht="50" customHeight="1" x14ac:dyDescent="0.2"/>
    <row r="30" ht="50" customHeight="1" x14ac:dyDescent="0.2"/>
    <row r="31" ht="50" customHeight="1" x14ac:dyDescent="0.2"/>
    <row r="32" ht="50" customHeight="1" x14ac:dyDescent="0.2"/>
    <row r="33" ht="50" customHeight="1" x14ac:dyDescent="0.2"/>
    <row r="34" ht="50" customHeight="1" x14ac:dyDescent="0.2"/>
    <row r="35" ht="50" customHeight="1" x14ac:dyDescent="0.2"/>
    <row r="36" ht="50" customHeight="1" x14ac:dyDescent="0.2"/>
    <row r="37" ht="50" customHeight="1" x14ac:dyDescent="0.2"/>
    <row r="38" ht="50" customHeight="1" x14ac:dyDescent="0.2"/>
    <row r="39" ht="50" customHeight="1" x14ac:dyDescent="0.2"/>
    <row r="40" ht="50" customHeight="1" x14ac:dyDescent="0.2"/>
    <row r="41" ht="50" customHeight="1" x14ac:dyDescent="0.2"/>
    <row r="42" ht="50" customHeight="1" x14ac:dyDescent="0.2"/>
    <row r="43" ht="50" customHeight="1" x14ac:dyDescent="0.2"/>
    <row r="44" ht="50" customHeight="1" x14ac:dyDescent="0.2"/>
    <row r="45" ht="50" customHeight="1" x14ac:dyDescent="0.2"/>
    <row r="46" ht="50" customHeight="1" x14ac:dyDescent="0.2"/>
    <row r="47" ht="50" customHeight="1" x14ac:dyDescent="0.2"/>
    <row r="48" ht="50" customHeight="1" x14ac:dyDescent="0.2"/>
    <row r="49" ht="50" customHeight="1" x14ac:dyDescent="0.2"/>
    <row r="50" ht="50" customHeight="1" x14ac:dyDescent="0.2"/>
    <row r="51" ht="50" customHeight="1" x14ac:dyDescent="0.2"/>
    <row r="52" ht="50" customHeight="1" x14ac:dyDescent="0.2"/>
    <row r="53" ht="50" customHeight="1" x14ac:dyDescent="0.2"/>
    <row r="54" ht="50" customHeight="1" x14ac:dyDescent="0.2"/>
    <row r="55" ht="50" customHeight="1" x14ac:dyDescent="0.2"/>
    <row r="56" ht="50" customHeight="1" x14ac:dyDescent="0.2"/>
    <row r="57" ht="50" customHeight="1" x14ac:dyDescent="0.2"/>
    <row r="58" ht="50" customHeight="1" x14ac:dyDescent="0.2"/>
    <row r="59" ht="50" customHeight="1" x14ac:dyDescent="0.2"/>
    <row r="60" ht="50" customHeight="1" x14ac:dyDescent="0.2"/>
    <row r="61" ht="50" customHeight="1" x14ac:dyDescent="0.2"/>
    <row r="62" ht="50" customHeight="1" x14ac:dyDescent="0.2"/>
    <row r="63" ht="50" customHeight="1" x14ac:dyDescent="0.2"/>
    <row r="64" ht="50" customHeight="1" x14ac:dyDescent="0.2"/>
    <row r="65" ht="50" customHeight="1" x14ac:dyDescent="0.2"/>
    <row r="66" ht="50" customHeight="1" x14ac:dyDescent="0.2"/>
    <row r="67" ht="50" customHeight="1" x14ac:dyDescent="0.2"/>
    <row r="68" ht="50" customHeight="1" x14ac:dyDescent="0.2"/>
    <row r="69" ht="50" customHeight="1" x14ac:dyDescent="0.2"/>
    <row r="70" ht="50" customHeight="1" x14ac:dyDescent="0.2"/>
    <row r="71" ht="50" customHeight="1" x14ac:dyDescent="0.2"/>
    <row r="72" ht="50" customHeight="1" x14ac:dyDescent="0.2"/>
    <row r="73" ht="50" customHeight="1" x14ac:dyDescent="0.2"/>
    <row r="74" ht="50" customHeight="1" x14ac:dyDescent="0.2"/>
    <row r="75" ht="50" customHeight="1" x14ac:dyDescent="0.2"/>
    <row r="76" ht="50" customHeight="1" x14ac:dyDescent="0.2"/>
    <row r="77" ht="50" customHeight="1" x14ac:dyDescent="0.2"/>
    <row r="78" ht="50" customHeight="1" x14ac:dyDescent="0.2"/>
    <row r="79" ht="50" customHeight="1" x14ac:dyDescent="0.2"/>
    <row r="80" ht="50" customHeight="1" x14ac:dyDescent="0.2"/>
    <row r="81" ht="50" customHeight="1" x14ac:dyDescent="0.2"/>
    <row r="82" ht="50" customHeight="1" x14ac:dyDescent="0.2"/>
    <row r="83" ht="50" customHeight="1" x14ac:dyDescent="0.2"/>
    <row r="84" ht="50" customHeight="1" x14ac:dyDescent="0.2"/>
    <row r="85" ht="50" customHeight="1" x14ac:dyDescent="0.2"/>
    <row r="86" ht="50" customHeight="1" x14ac:dyDescent="0.2"/>
    <row r="87" ht="50" customHeight="1" x14ac:dyDescent="0.2"/>
    <row r="88" ht="50" customHeight="1" x14ac:dyDescent="0.2"/>
    <row r="89" ht="50" customHeight="1" x14ac:dyDescent="0.2"/>
    <row r="90" ht="50" customHeight="1" x14ac:dyDescent="0.2"/>
    <row r="91" ht="50" customHeight="1" x14ac:dyDescent="0.2"/>
    <row r="92" ht="50" customHeight="1" x14ac:dyDescent="0.2"/>
    <row r="93" ht="50" customHeight="1" x14ac:dyDescent="0.2"/>
    <row r="94" ht="50" customHeight="1" x14ac:dyDescent="0.2"/>
    <row r="95" ht="50" customHeight="1" x14ac:dyDescent="0.2"/>
    <row r="96" ht="50" customHeight="1" x14ac:dyDescent="0.2"/>
    <row r="97" ht="50" customHeight="1" x14ac:dyDescent="0.2"/>
    <row r="98" ht="50" customHeight="1" x14ac:dyDescent="0.2"/>
    <row r="99" ht="50" customHeight="1" x14ac:dyDescent="0.2"/>
    <row r="100" ht="50" customHeight="1" x14ac:dyDescent="0.2"/>
  </sheetData>
  <sheetProtection algorithmName="SHA-512" hashValue="e9ZB4D7oDCr8FHxyL46YEvvf2gCERWtLGoVZvWaCjoi3aUxGpKevjYncREtMXg/MY3w8zTnek2RrSjA2iNVY+Q==" saltValue="Yo2TtfxDn+hmMBcBsNSD3w==" spinCount="100000" sheet="1" objects="1" scenarios="1"/>
  <phoneticPr fontId="8" type="noConversion"/>
  <pageMargins left="0.7" right="0.7" top="0.75" bottom="0.75" header="0.3" footer="0.3"/>
  <ignoredErrors>
    <ignoredError sqref="J7:L7 A7" calculatedColumn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Officiel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2024-09-10T17:10:47Z</dcterms:created>
  <dcterms:modified xsi:type="dcterms:W3CDTF">2024-10-10T18:36:48Z</dcterms:modified>
</cp:coreProperties>
</file>